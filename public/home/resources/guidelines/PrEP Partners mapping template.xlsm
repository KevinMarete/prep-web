
<file path=[Content_Types].xml><?xml version="1.0" encoding="utf-8"?>
<Types xmlns="http://schemas.openxmlformats.org/package/2006/content-types">
  <Default Extension="xml" ContentType="application/xml"/>
  <Default Extension="jpeg" ContentType="image/jpeg"/>
  <Default Extension="bin" ContentType="application/vnd.openxmlformats-officedocument.spreadsheetml.printerSettings"/>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230" codeName="{7A2D7E96-6E34-419A-AE5F-296B3A7E7977}"/>
  <workbookPr codeName="ThisWorkbook"/>
  <mc:AlternateContent xmlns:mc="http://schemas.openxmlformats.org/markup-compatibility/2006">
    <mc:Choice Requires="x15">
      <x15ac:absPath xmlns:x15ac="http://schemas.microsoft.com/office/spreadsheetml/2010/11/ac" url="/Users/precious/Desktop/"/>
    </mc:Choice>
  </mc:AlternateContent>
  <workbookProtection workbookPassword="A320" lockStructure="1"/>
  <bookViews>
    <workbookView xWindow="0" yWindow="460" windowWidth="33600" windowHeight="19140" tabRatio="650"/>
  </bookViews>
  <sheets>
    <sheet name="PrEP Projects Summary" sheetId="4" r:id="rId1"/>
    <sheet name="Multiple Choice Options" sheetId="3" r:id="rId2"/>
    <sheet name="Sheet1" sheetId="1" r:id="rId3"/>
  </sheets>
  <definedNames>
    <definedName name="_xlnm._FilterDatabase" localSheetId="0" hidden="1">'PrEP Projects Summary'!$A$2:$Z$11</definedName>
    <definedName name="_xlnm.Criteria" localSheetId="0">'PrEP Projects Summary'!$B$2:$B$4</definedName>
    <definedName name="_xlnm.Extract" localSheetId="0">'PrEP Projects Summary'!#REF!</definedName>
  </definedNames>
  <calcPr calcId="15251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sharedStrings.xml><?xml version="1.0" encoding="utf-8"?>
<sst xmlns="http://schemas.openxmlformats.org/spreadsheetml/2006/main" count="392" uniqueCount="313">
  <si>
    <r>
      <t xml:space="preserve">Project Name
</t>
    </r>
    <r>
      <rPr>
        <sz val="10"/>
        <color theme="0"/>
        <rFont val="Calibri"/>
        <family val="2"/>
        <scheme val="minor"/>
      </rPr>
      <t>(Include brief description if applicable)</t>
    </r>
  </si>
  <si>
    <t xml:space="preserve">Sponsor/Funder </t>
  </si>
  <si>
    <r>
      <t xml:space="preserve">Location: Area (If known) </t>
    </r>
    <r>
      <rPr>
        <i/>
        <sz val="10"/>
        <color theme="0"/>
        <rFont val="Calibri"/>
        <family val="2"/>
        <scheme val="minor"/>
      </rPr>
      <t xml:space="preserve">(Please select one answer from the drop down menu) </t>
    </r>
  </si>
  <si>
    <r>
      <t xml:space="preserve">Lead Org(s): </t>
    </r>
    <r>
      <rPr>
        <i/>
        <sz val="10"/>
        <color theme="0"/>
        <rFont val="Calibri"/>
        <family val="2"/>
        <scheme val="minor"/>
      </rPr>
      <t xml:space="preserve">(Please select all that apply from the drop down menu) </t>
    </r>
  </si>
  <si>
    <t>Contact Person within Lead Org(s)</t>
  </si>
  <si>
    <t>Implementing Partner(s)</t>
  </si>
  <si>
    <r>
      <t xml:space="preserve">Programme Type: </t>
    </r>
    <r>
      <rPr>
        <i/>
        <sz val="10"/>
        <color theme="0"/>
        <rFont val="Calibri"/>
        <family val="2"/>
        <scheme val="minor"/>
      </rPr>
      <t xml:space="preserve">(Please select all that apply from the drop down menu) </t>
    </r>
  </si>
  <si>
    <r>
      <t xml:space="preserve">Status
</t>
    </r>
    <r>
      <rPr>
        <i/>
        <sz val="10"/>
        <color theme="0"/>
        <rFont val="Calibri"/>
        <family val="2"/>
        <scheme val="minor"/>
      </rPr>
      <t>(Please select one answer from the drop down menu)</t>
    </r>
  </si>
  <si>
    <r>
      <t xml:space="preserve">Status details: </t>
    </r>
    <r>
      <rPr>
        <i/>
        <sz val="10"/>
        <color theme="0"/>
        <rFont val="Calibri"/>
        <family val="2"/>
        <scheme val="minor"/>
      </rPr>
      <t>(Please enter start month and year, end month and year, results published date)</t>
    </r>
  </si>
  <si>
    <r>
      <t xml:space="preserve">Target Population </t>
    </r>
    <r>
      <rPr>
        <i/>
        <sz val="10"/>
        <color theme="0"/>
        <rFont val="Calibri"/>
        <family val="2"/>
        <scheme val="minor"/>
      </rPr>
      <t xml:space="preserve">(Please select all that apply from the drop down menu) </t>
    </r>
  </si>
  <si>
    <t>Target # of PrEP enrollees</t>
  </si>
  <si>
    <r>
      <t>If there is a Cost Effectiveness/cost analysis component, what is the objective</t>
    </r>
    <r>
      <rPr>
        <i/>
        <sz val="10"/>
        <color theme="0"/>
        <rFont val="Calibri"/>
        <family val="2"/>
        <scheme val="minor"/>
      </rPr>
      <t xml:space="preserve"> (If applicable) </t>
    </r>
  </si>
  <si>
    <r>
      <t xml:space="preserve">If Behavioural Data is being recorded, what data is being collected? </t>
    </r>
    <r>
      <rPr>
        <i/>
        <sz val="10"/>
        <color theme="0"/>
        <rFont val="Calibri"/>
        <family val="2"/>
        <scheme val="minor"/>
      </rPr>
      <t xml:space="preserve">(if applicable) </t>
    </r>
  </si>
  <si>
    <t>If your work is in HSS, what data are you collecting?</t>
  </si>
  <si>
    <t xml:space="preserve">If your work is in Research, what are your primary objectives/aims? </t>
  </si>
  <si>
    <t>If your work is in Modelling, what are your primary objectives/aims?</t>
  </si>
  <si>
    <t>Total funding level for programme</t>
  </si>
  <si>
    <t>Ongoing</t>
  </si>
  <si>
    <t>Adolescent Girls (&lt;24)</t>
  </si>
  <si>
    <t>N/A</t>
  </si>
  <si>
    <t xml:space="preserve">Demonstration Project (trial) </t>
  </si>
  <si>
    <t xml:space="preserve">Communications/ Market Research </t>
  </si>
  <si>
    <t xml:space="preserve">Implementation Science Research </t>
  </si>
  <si>
    <t>Women 25+ years</t>
  </si>
  <si>
    <t>Planned</t>
  </si>
  <si>
    <t>Observational Cohort Study</t>
  </si>
  <si>
    <t>FSW</t>
  </si>
  <si>
    <t>MSM</t>
  </si>
  <si>
    <t xml:space="preserve">Open Label </t>
  </si>
  <si>
    <t>Completed</t>
  </si>
  <si>
    <t>Proposed</t>
  </si>
  <si>
    <t>Private Pharmacies</t>
  </si>
  <si>
    <t>Private FP Clinics</t>
  </si>
  <si>
    <t>Private Hospitals</t>
  </si>
  <si>
    <t>Men 25+ years</t>
  </si>
  <si>
    <t>Private Testing Centres</t>
  </si>
  <si>
    <t>Health Systems Strengthening</t>
  </si>
  <si>
    <t>Private General Health Clinics</t>
  </si>
  <si>
    <t>Impact Evaluations</t>
  </si>
  <si>
    <t>Adolescent Boys (&lt;24)</t>
  </si>
  <si>
    <t>Private Schools</t>
  </si>
  <si>
    <t>Public Pharmacies</t>
  </si>
  <si>
    <t>M&amp;E support</t>
  </si>
  <si>
    <t xml:space="preserve">Pregnant Women </t>
  </si>
  <si>
    <t>Public FP Clinics</t>
  </si>
  <si>
    <t>Modelling</t>
  </si>
  <si>
    <t>Transgender Women</t>
  </si>
  <si>
    <t>Public Hospitals</t>
  </si>
  <si>
    <t>Transgender Men</t>
  </si>
  <si>
    <t>Public Testing Centres</t>
  </si>
  <si>
    <t>Serodiscordant couples</t>
  </si>
  <si>
    <t>Public General Health Clinics</t>
  </si>
  <si>
    <t xml:space="preserve">Program Delivery /Scale Up </t>
  </si>
  <si>
    <t>Other</t>
  </si>
  <si>
    <t>Public Schools</t>
  </si>
  <si>
    <t>Policy Guideline Support</t>
  </si>
  <si>
    <t>Program Support</t>
  </si>
  <si>
    <t xml:space="preserve">Other </t>
  </si>
  <si>
    <t>Resistance Data</t>
  </si>
  <si>
    <t xml:space="preserve">Surveillance </t>
  </si>
  <si>
    <r>
      <t xml:space="preserve">Location: County </t>
    </r>
    <r>
      <rPr>
        <i/>
        <sz val="10"/>
        <color theme="0"/>
        <rFont val="Calibri"/>
        <family val="2"/>
        <scheme val="minor"/>
      </rPr>
      <t xml:space="preserve">(Please select all that apply from the drop down menu) </t>
    </r>
  </si>
  <si>
    <t>Approximate funding level for Kenya</t>
  </si>
  <si>
    <r>
      <t xml:space="preserve">Target Age categorization: </t>
    </r>
    <r>
      <rPr>
        <i/>
        <sz val="10"/>
        <color theme="0"/>
        <rFont val="Calibri"/>
        <family val="2"/>
        <scheme val="minor"/>
      </rPr>
      <t>(Please specify exact age ranges)</t>
    </r>
    <r>
      <rPr>
        <b/>
        <sz val="10"/>
        <color theme="0"/>
        <rFont val="Calibri"/>
        <family val="2"/>
        <scheme val="minor"/>
      </rPr>
      <t xml:space="preserve"> </t>
    </r>
  </si>
  <si>
    <t>If your work is a demonstration project, what are your primary objectives?</t>
  </si>
  <si>
    <t>Baringo</t>
  </si>
  <si>
    <t>Bomet</t>
  </si>
  <si>
    <t>Bungoma</t>
  </si>
  <si>
    <t>Busia</t>
  </si>
  <si>
    <t>Elgyo-Marakwet</t>
  </si>
  <si>
    <t>Embu</t>
  </si>
  <si>
    <t>Garissa</t>
  </si>
  <si>
    <t>Homa Bay</t>
  </si>
  <si>
    <t>Isiolo</t>
  </si>
  <si>
    <t>Kajiado</t>
  </si>
  <si>
    <t>Kakamega</t>
  </si>
  <si>
    <t>Kericho</t>
  </si>
  <si>
    <t>Kiambu</t>
  </si>
  <si>
    <t>Kilifi</t>
  </si>
  <si>
    <t>Kirinyaga</t>
  </si>
  <si>
    <t>Kisii</t>
  </si>
  <si>
    <t>Kisumu</t>
  </si>
  <si>
    <t>Kitui</t>
  </si>
  <si>
    <t>Kwale</t>
  </si>
  <si>
    <t>Laikipia</t>
  </si>
  <si>
    <t xml:space="preserve">Lamu </t>
  </si>
  <si>
    <t>Machakos</t>
  </si>
  <si>
    <t>Makueni</t>
  </si>
  <si>
    <t>Mandera</t>
  </si>
  <si>
    <t>Marsabit</t>
  </si>
  <si>
    <t>Meru</t>
  </si>
  <si>
    <t>Migori</t>
  </si>
  <si>
    <t>Mombasa</t>
  </si>
  <si>
    <t>Murang'a</t>
  </si>
  <si>
    <t>Nairobi</t>
  </si>
  <si>
    <t>Nakuru</t>
  </si>
  <si>
    <t xml:space="preserve">Nandi </t>
  </si>
  <si>
    <t>Narok</t>
  </si>
  <si>
    <t>Nyamira</t>
  </si>
  <si>
    <t>Nyandarua</t>
  </si>
  <si>
    <t>Nyeri</t>
  </si>
  <si>
    <t>Samburu</t>
  </si>
  <si>
    <t>Siaya</t>
  </si>
  <si>
    <t>Taita Taveta</t>
  </si>
  <si>
    <t xml:space="preserve">Tana River </t>
  </si>
  <si>
    <t>Tharaka-Nithi</t>
  </si>
  <si>
    <t>Trans-Nzoia</t>
  </si>
  <si>
    <t>Turkana</t>
  </si>
  <si>
    <t>Uasin Gishu</t>
  </si>
  <si>
    <t>Vihiga</t>
  </si>
  <si>
    <t>Wajir</t>
  </si>
  <si>
    <t>West Pokot</t>
  </si>
  <si>
    <t>USAID</t>
  </si>
  <si>
    <r>
      <t xml:space="preserve">DREAMS
</t>
    </r>
    <r>
      <rPr>
        <sz val="10"/>
        <color theme="1"/>
        <rFont val="Calibri"/>
        <family val="2"/>
        <scheme val="minor"/>
      </rPr>
      <t>partnership to reduce HIV infections among AGYW; extends beyond health sector to address  poverty, gender inequality, sexual violence, lack of education; PrEP implementation component included</t>
    </r>
  </si>
  <si>
    <t>PEPFAR</t>
  </si>
  <si>
    <r>
      <t xml:space="preserve">OPTIONS Consortium
</t>
    </r>
    <r>
      <rPr>
        <sz val="10"/>
        <rFont val="Calibri"/>
        <family val="2"/>
        <scheme val="minor"/>
      </rPr>
      <t>Provide targeted support to expedite and sustain access to ARV-based HIV prev. products in countries and among populations where most needed</t>
    </r>
  </si>
  <si>
    <t>Avenir Health, LSHTM, LVCT Health (Kenya), Pangaea (Zim), McCann Health, FSG</t>
  </si>
  <si>
    <t>Wits RHI (Johannesburg), DTHF (Cape Town), KEMRI (Kisumu), RTI, Mass General Hospital, Carnegie Mellon University, Harvard University, University College London</t>
  </si>
  <si>
    <t>New York University; University of Nairobi; Impact Research and Development Organization (IRDO)</t>
  </si>
  <si>
    <t>Nov 2014 - Nov 2016</t>
  </si>
  <si>
    <t>LVCT, SWOP; WHO, UNAIDS, the O’Neill Institute of Georgetown University, the London School of Hygiene and Tropical Medicine (LSHTM), Imperial College London; funded by Bill &amp; Melinda Gates Foundation</t>
  </si>
  <si>
    <r>
      <t xml:space="preserve">IPCP Study
</t>
    </r>
    <r>
      <rPr>
        <sz val="10"/>
        <rFont val="Calibri"/>
        <family val="2"/>
        <scheme val="minor"/>
      </rPr>
      <t>Introduces PrEP to combination prevention interventions. Feasibility study assessing consumer perceptions, cost, delivery options, potential barriers and opportunities for introduction and adherence completed. Acceptability among target populations, cost, menu of combination interventions and feasible delivery options established. Delivers PrEP as part of combination prevention to 2,100 participants over 12 months in preliminary stages. The project will define criteria for PrEP indication among targeted populations, adherence strategies, health system requirements and model impact of PrEP in Kenya.</t>
    </r>
  </si>
  <si>
    <r>
      <t xml:space="preserve">POWER
</t>
    </r>
    <r>
      <rPr>
        <sz val="10"/>
        <rFont val="Calibri"/>
        <family val="2"/>
        <scheme val="minor"/>
      </rPr>
      <t xml:space="preserve">Assesses women’s preferences for using microbicides and PrEP through demonstration projects with strategic pilots of delivery strategies, first with oral PrEP. Project will characterize choice, uptake, early adherence and identify cost-effective delivery models, including assessment of repeat HIV testing, decision-making within partnerships, and the interface with reproductive health services.  </t>
    </r>
  </si>
  <si>
    <t>BMGF</t>
  </si>
  <si>
    <t>July 2015 - June 2020.</t>
  </si>
  <si>
    <t>Advocacy</t>
  </si>
  <si>
    <t>Copy the content from PrEP summary</t>
  </si>
  <si>
    <r>
      <t xml:space="preserve">Location Intervention Delivery point: </t>
    </r>
    <r>
      <rPr>
        <i/>
        <sz val="10"/>
        <color theme="0"/>
        <rFont val="Calibri"/>
        <family val="2"/>
        <scheme val="minor"/>
      </rPr>
      <t xml:space="preserve">(For demonstration projects only) Please select all that apply from the drop down menu) </t>
    </r>
  </si>
  <si>
    <t>NGOs/Model sites</t>
  </si>
  <si>
    <t>Please clear the options here we will populate once filled</t>
  </si>
  <si>
    <t>We will populate the options once we have the specific areas the projects are being implemented</t>
  </si>
  <si>
    <t>Disable multiple choices so that we can fill in the contacts directly</t>
  </si>
  <si>
    <t>We can populate this once we have the information. Kindly disable multiple choices</t>
  </si>
  <si>
    <t>No options just actual project dates</t>
  </si>
  <si>
    <t>To be populated once we have the information</t>
  </si>
  <si>
    <t>No multiple choices</t>
  </si>
  <si>
    <t xml:space="preserve">NIMH </t>
  </si>
  <si>
    <t>NIH</t>
  </si>
  <si>
    <r>
      <t xml:space="preserve">Partners demonstration project
</t>
    </r>
    <r>
      <rPr>
        <sz val="10"/>
        <rFont val="Calibri"/>
        <family val="2"/>
        <scheme val="minor"/>
      </rPr>
      <t xml:space="preserve">Evaluates HIV prevention preferences among approximately 1,000 HIV serodiscordant couples, adherence to PrEP and ART and interface of reproductive health priorities and ART-based prevention. Will implement PrEP as “bridge” to ART, providing PrEP to HIV-negative partner when HIV-positive partner is not yet on ART due to ineligibility based on country guidelines or personal decision. </t>
    </r>
  </si>
  <si>
    <t>PEPFAR, NIH</t>
  </si>
  <si>
    <t>Wits RHI and AVAC</t>
  </si>
  <si>
    <t>Nairobi, Kisumu, Homa Bay</t>
  </si>
  <si>
    <t xml:space="preserve">Korogocho, </t>
  </si>
  <si>
    <t>LVCT Health</t>
  </si>
  <si>
    <t xml:space="preserve">Jordan Kyongo 
jkyongo@lvcthealth.org 
</t>
  </si>
  <si>
    <t>Female sex workers (18 and older), MSM (18 and older), young women at high HIV risk (15 -29)</t>
  </si>
  <si>
    <t>YW - 15 - 29
MSM/FSW - 18+ yrs</t>
  </si>
  <si>
    <t>sero-discordant couples</t>
  </si>
  <si>
    <t>University of Washington, the Infectious Disease Institute of Makerere University, the Kabwohe Clinical Research Centre, the Kenya Medical Research Institute, Kenyatta National Hospital, Massachusetts General Hospital, and Harvard University. </t>
  </si>
  <si>
    <t>Adolescent girls and young women aged 16-24; women 25-29</t>
  </si>
  <si>
    <t>AGYW - 16 - 24yrs
Women - 25 - 29 yrs</t>
  </si>
  <si>
    <t>Dr. Wanjiru Mukoma 
wmukoma@lvcthealth.org</t>
  </si>
  <si>
    <t>Contact Person within Kenya</t>
  </si>
  <si>
    <t>National</t>
  </si>
  <si>
    <t>Oct 2015 - Sept 2020</t>
  </si>
  <si>
    <t>Characterize resistance risk from clinical trials and demonstration studies to understand the duration of time an infected person can be on product before resistance is selected.</t>
  </si>
  <si>
    <t>NGOs/Model sites, Public General Health Clinics</t>
  </si>
  <si>
    <t xml:space="preserve">Advocacy, Modelling, Policy Guideline Support, Implementation Science Research </t>
  </si>
  <si>
    <t>providing technical assistance and support for health systems strengthening with rapid use of data to identify and address implementation bottlenecks throughout the value chain.</t>
  </si>
  <si>
    <t>conducting formative research among African women and healthcare providers, focusing on motivators and obstacles for initiation of and adherence to microbicides and PrEP, to inform development of effective communications, decision tools, and delivery strategies that meet women’s needs and are integrated with established programs, including regular HIV testing</t>
  </si>
  <si>
    <t>analyzing cost-effectiveness and modeling delivery approaches</t>
  </si>
  <si>
    <t>University of Washington (Connie Celum and Jared Baeten, Co-Project Directors)</t>
  </si>
  <si>
    <t>18 - 24</t>
  </si>
  <si>
    <t>Homa bay sub-county</t>
  </si>
  <si>
    <t>New York University</t>
  </si>
  <si>
    <t xml:space="preserve">Demonstration Project (trial) , Implementation Science Research </t>
  </si>
  <si>
    <t>Conduct mathematical modeling to select optimal combination intervention package components and to assess potential population-level impact. (Phase 1 or 2)</t>
  </si>
  <si>
    <t>Acceptability of combination HIV prevention package  to youths including PrEP (Currently on Phase 4)</t>
  </si>
  <si>
    <t>$1,500,000</t>
  </si>
  <si>
    <t xml:space="preserve">IRDO
Dr. Irene Inwani - iinwani@yahoo.com </t>
  </si>
  <si>
    <t>Homa Bay, Kisumu, Siaya, Nairobi</t>
  </si>
  <si>
    <r>
      <t xml:space="preserve">Global Evaluation of Micribicide Sensitivity (GEMS)
</t>
    </r>
    <r>
      <rPr>
        <sz val="10"/>
        <rFont val="Calibri"/>
        <family val="2"/>
        <scheme val="minor"/>
      </rPr>
      <t>Inform policies and define programmatic considerations related to use of ARV-based prev. products and resistance risk</t>
    </r>
  </si>
  <si>
    <r>
      <t xml:space="preserve">Gender-Specific Combination HIV Prevention for Youth in High Burden Settings (MP3-Youth)
</t>
    </r>
    <r>
      <rPr>
        <sz val="10"/>
        <color theme="1"/>
        <rFont val="Calibri"/>
        <family val="2"/>
        <scheme val="minor"/>
      </rPr>
      <t>To evaluate the feasibility and acceptability of a gender-specific combination HIV prevention package for youth in high burden settings. The study aims to pilot a combination package of gender-specific interventions in western Kenya in a mobile health delivery format using integrated services delivery. Interventions include: Male-Specific Intervention Package (HIV counseling and testing; facilitated linkage to care for HIV-positive; condoms; VMMC); Female-Specific Intervention Package (IV counseling and testing; facilitated linkage to care for HIV-positive; contraception/family planning; PrEP; conditional cash transfer).</t>
    </r>
  </si>
  <si>
    <t>2014 - 2017</t>
  </si>
  <si>
    <t xml:space="preserve">Elizabeth Bukusi
ebukusi@csrtkenya.org
ebukusi@u.washington.edu  </t>
  </si>
  <si>
    <t>Delivery of PrEP in the most effective and efficient way to the target populations in priority geographies</t>
  </si>
  <si>
    <t xml:space="preserve">Daniel Were Daniel.Were@jhpiego.org </t>
  </si>
  <si>
    <t>International Center for Reproductive Health Kenya (ICRHK), Populations Services Kenya, NASCOP, Avenir Health</t>
  </si>
  <si>
    <t>MSM, FSW, AGYW</t>
  </si>
  <si>
    <r>
      <rPr>
        <b/>
        <sz val="10"/>
        <color theme="1"/>
        <rFont val="Calibri"/>
        <family val="2"/>
        <scheme val="minor"/>
      </rPr>
      <t>Bridge to Scale (Jilinde Project)</t>
    </r>
    <r>
      <rPr>
        <sz val="10"/>
        <color theme="1"/>
        <rFont val="Calibri"/>
        <family val="2"/>
        <scheme val="minor"/>
      </rPr>
      <t xml:space="preserve">
Scale up of PrEP roll out in real world scenarios. Project to be implemented in different delivery sites based in context and lessons drawn from other projects. </t>
    </r>
  </si>
  <si>
    <t xml:space="preserve">CDC and USAID, Johnson and Johnson, Gilead </t>
  </si>
  <si>
    <t>PEPFAR, USAID</t>
  </si>
  <si>
    <t>Urvi Parikh
ump3@pitt.edu; +1 412-648-3103</t>
  </si>
  <si>
    <t xml:space="preserve">FHI 360, BARC-Lancet Laboratories, University College London and University of Washington/Fred Hutchinson Cancer Research Center. </t>
  </si>
  <si>
    <t>University of Pittsburgh (Urvi M. Parikh, Ph.D.)</t>
  </si>
  <si>
    <t>All counties where PrEP is implemented</t>
  </si>
  <si>
    <t>November 2016 – July 2020</t>
  </si>
  <si>
    <t>Resistance Data, Modelling</t>
  </si>
  <si>
    <t>All seroconverters on PrEP</t>
  </si>
  <si>
    <t>Public STI Clinic</t>
  </si>
  <si>
    <t>Private STI Clinic</t>
  </si>
  <si>
    <t>Community</t>
  </si>
  <si>
    <t>Public FP Clinics, Private Hospitals, Private Testing Centres, Private General Health Clinics, Public Hospitals, Public STI Clinic, Private STI Clinic</t>
  </si>
  <si>
    <t>Use mathematical modeling to identify the most effective and efficient HIV testing and resistance monitoring strategies during PrEP roll-out. Use this data to inform evidence-based policy recommendations for HIV diagnostic testing frequency and ARV resistance monitoring.</t>
  </si>
  <si>
    <t>conduct cost effectiveness analyses of frequency of HIV testing and the risk of resistance.</t>
  </si>
  <si>
    <t>Tools developed</t>
  </si>
  <si>
    <t xml:space="preserve">o Laboratory SOPs on specimen collection and resistance testing
o HIV acute seroconversion checklist
o Training materials for clinicians
o Informational materials for clinic staff and PrEP clients
o Clinic flow diagram and job aids that outline specimen collection and shipment for resistance testing
</t>
  </si>
  <si>
    <t>NIH, BMGF</t>
  </si>
  <si>
    <t>KEMRI</t>
  </si>
  <si>
    <t xml:space="preserve">Dr. Elizabeth Irungu eirugu@pipsthika.org; 0721861147 
Dr. Kenneth Ngure
kngure@pipsthika.org </t>
  </si>
  <si>
    <t>Kiambu, Nyeri, Nairobi, Migori, Kisumu, Siaya, Homa Bay</t>
  </si>
  <si>
    <t>NGOs/Model sites, Public Hospitals, Private Hospitals</t>
  </si>
  <si>
    <t xml:space="preserve">Demonstration Project (trial) , Program Delivery /Scale Up </t>
  </si>
  <si>
    <t>2012 - 2016 (demo)
Jan 2017 – Dec 2022 (scale-up)</t>
  </si>
  <si>
    <t>Ongoing, Proposed</t>
  </si>
  <si>
    <t>18+ years</t>
  </si>
  <si>
    <t>Simulation mathematical models will be used to simulate the health outcomes from collected data, prior results from studies of couples, and the literature to consider clinical outcomes beyond the scope of this project.</t>
  </si>
  <si>
    <t>IEC materials, training materials, clinic encounter forms</t>
  </si>
  <si>
    <t>Training materials, clinical forms, IEC materials, SOPs</t>
  </si>
  <si>
    <t>To develop unot costs for PrEP deliverred as p[art of an HIV combonatation prevention package among men who have sex with men (MSM), female sex workers (FSW) and young women (YW) at high HIV risk in Kenya</t>
  </si>
  <si>
    <t>HIV risk behaviour (condom use, intravenous drug use, number of sexual partners)</t>
  </si>
  <si>
    <t>List of facilities implementing</t>
  </si>
  <si>
    <t>Site readiness assessment</t>
  </si>
  <si>
    <t>1. To validate tools for risk identification and indications for PrEP initiation among YW at high HIV risk</t>
  </si>
  <si>
    <t xml:space="preserve">
1. To document PrEP side effects and adverse events among MSM, FSW and  YW at high HIV risk
a. To monitor safe uptake of PrEP among pregnant women
b. To determine acceptability of HIV re-testing among MSM, FSW and YW at high HIV risk
2. Develop tools,strategies and messaging to promote uptake and sustained adherence to PrEP as part of a combination prevention package
3. To demonstrate effective delivery of oral HIV PrEP as part of a combined prevention package among MSM, FSWs and YW at high risk of HIV
</t>
  </si>
  <si>
    <t>Facilities implementing</t>
  </si>
  <si>
    <t>LVCT Health Prevention sites (CBD, Sokoni Arcade, Tivoli), SWOP City clinics, Korogocho Health Centre and Homabay Disctrict Hospital</t>
  </si>
  <si>
    <t xml:space="preserve">Central and Nairobi:
Thika level 5 Hospital, Ruiru Sub-County Hospital, Kiambu County Hospital, Murang’a County Hospital, Coptic Hospital, Kerugoya County Hospital, Karatina Sub-county Hospital, Nyeri PGH, Pumwani Maternity Hospital, Mbagathi Hospital, Kikuyu PCEA Hospital St. Mary’s Hospital
Western Kenya Region:
Lumumba Health Centre, Migori County Hospital, Rongo Sub-county hospital, Ahero County Hospital, Kisumu County Hospital, Muhoroni Sub-District Hospital, Nyakach Sub-county Hospital, Siaya County Hospital, Bondo Sub-County Hospital, Rachuonyo District Hospital, Railways Health Centre, Kombewa District Hospital
</t>
  </si>
  <si>
    <t>If your work is in scale-up , what are your primary objectives/aims?</t>
  </si>
  <si>
    <t xml:space="preserve">a. Deliver integrated PrEP and ART for HIV-1 serodiscordant couples at scale in public HIV-1 care centers in Kenya and evaluate program impact. 
b. Assess facilitators and barriers to a) implementation of integrated PrEP and ART in delivery settings and b) optimized PrEP and ART adherence. 
c. Develop operational tools that will expand and support delivery of integrated PrEP and ART at scale and secure buy in from relevant stakeholders to ensure delivery continues to scale up at the national level. 
</t>
  </si>
  <si>
    <t>Drug used and quantities</t>
  </si>
  <si>
    <t xml:space="preserve">TDF </t>
  </si>
  <si>
    <t>Indicators collected</t>
  </si>
  <si>
    <t>No. tested for HIV, No. screened for PrEP eligibility, risk failures, consent, enrolled, LTFU, discontinued, serious adverse effects</t>
  </si>
  <si>
    <t xml:space="preserve">i. proportion of HIV-1 infected persons whose partners are tested for HIV-1 before/after PrEP as a bridge to ART is implemented, 
ii. PrEP initiation and adherence by HIV-1 uninfected partners until their HIV-1 infected partners initiate ART and sustain use for six months, 
iii. ART initiation and adherence by HIV-1 infected individuals, 
iv. couples achieving optimized antiretroviral-based prevention coverage (i.e., high adherence to at least one antiretroviral intervention), and 
v. HIV-1 uninfected partners staying HIV-1 uninfected
</t>
  </si>
  <si>
    <t>a.      Determine efficiency, cost, and cost-effectiveness of the integrated PrEP and ART when delivered in public health clinics</t>
  </si>
  <si>
    <r>
      <t>Adolescent men and women ages 15-24 (</t>
    </r>
    <r>
      <rPr>
        <i/>
        <sz val="10"/>
        <color theme="1"/>
        <rFont val="Calibri"/>
        <family val="2"/>
        <scheme val="minor"/>
      </rPr>
      <t>Only enrolling adolescent female arms on PrEP</t>
    </r>
    <r>
      <rPr>
        <sz val="10"/>
        <color theme="1"/>
        <rFont val="Calibri"/>
        <family val="2"/>
        <scheme val="minor"/>
      </rPr>
      <t>)</t>
    </r>
  </si>
  <si>
    <t>Nairobi, National</t>
  </si>
  <si>
    <t xml:space="preserve">Cost effectiveness and impact of PrEP </t>
  </si>
  <si>
    <t>Situational analysis, readiness assessment</t>
  </si>
  <si>
    <t>frequency of drug resistance selection in a cohort of individuals who seroconvert on PrEP</t>
  </si>
  <si>
    <t>LVCT Health, HWWK, Afya Jijini, Afya Western/Nyanza, IRDO, IMC  and Global Communities</t>
  </si>
  <si>
    <t>Patriciah Oluoch (CDC) - hpk7@cdc.gov  and Emma Mwamburi (USAID) emwamburi@usaid.gov</t>
  </si>
  <si>
    <t>Nairobi- The Mukurus, Korogocho, Pumwani, Kibera Kawangware, Kibagare</t>
  </si>
  <si>
    <r>
      <t>·</t>
    </r>
    <r>
      <rPr>
        <sz val="7"/>
        <color theme="1"/>
        <rFont val="Times New Roman"/>
        <family val="1"/>
      </rPr>
      <t xml:space="preserve">        </t>
    </r>
    <r>
      <rPr>
        <sz val="11"/>
        <color theme="1"/>
        <rFont val="Calibri"/>
        <family val="2"/>
        <scheme val="minor"/>
      </rPr>
      <t>To reduce the incidence of HIV  in AGYW by 40% by  September 2017</t>
    </r>
  </si>
  <si>
    <t>2016 - 2017
First PrEP initiation in January 2017</t>
  </si>
  <si>
    <t>18 - 24 years</t>
  </si>
  <si>
    <t>NGOs/Model sites, Public General Health Clinics, Public Hospitals, Public Testing Centres, Community</t>
  </si>
  <si>
    <t>Sexual history</t>
  </si>
  <si>
    <t xml:space="preserve">Nairobi, Kiambu, Machakos, Mombasa, Kilifi, Kwale, Taita Taveta, Kisumu, Kisii, and Migori </t>
  </si>
  <si>
    <t>Drop in centres</t>
  </si>
  <si>
    <t>Youth friendly centres</t>
  </si>
  <si>
    <t>JHPIEGO</t>
  </si>
  <si>
    <t xml:space="preserve">Goal: To demonstrate, document and disseminate an effective model on how oral Pre-Exposure Prophylaxis (PrEP) can be scaled up as an HIV-prevention intervention in low resource settings.
Specific objectives:
1. Demonstrate that oral PrEP works to reduce HIV incidence among key populations and Adolescent Girls and Young Women when implemented at a population level in “real life” routine service delivery
2. Develop and document an acceptable, affordable, and replicable approach to launch and scale-up the use of oral PrEP
3. Ensure political, donor, and community support for the scale-up of oral PrEP
</t>
  </si>
  <si>
    <r>
      <t>July 1</t>
    </r>
    <r>
      <rPr>
        <i/>
        <vertAlign val="superscript"/>
        <sz val="11"/>
        <rFont val="Calibri"/>
        <family val="2"/>
        <scheme val="minor"/>
      </rPr>
      <t>st</t>
    </r>
    <r>
      <rPr>
        <i/>
        <sz val="11"/>
        <rFont val="Calibri"/>
        <family val="2"/>
        <scheme val="minor"/>
      </rPr>
      <t xml:space="preserve"> 2016 – June 30</t>
    </r>
    <r>
      <rPr>
        <i/>
        <vertAlign val="superscript"/>
        <sz val="11"/>
        <rFont val="Calibri"/>
        <family val="2"/>
        <scheme val="minor"/>
      </rPr>
      <t>th</t>
    </r>
    <r>
      <rPr>
        <i/>
        <sz val="11"/>
        <rFont val="Calibri"/>
        <family val="2"/>
        <scheme val="minor"/>
      </rPr>
      <t xml:space="preserve"> 2020</t>
    </r>
  </si>
  <si>
    <t>AGYW - 15 - 24
MSM/FSW - No age limit</t>
  </si>
  <si>
    <t>Yr1 - 3000
Yr2 - 6000
Yr3 - 7000
Yr4 - 4776
Total 20,776</t>
  </si>
  <si>
    <t>Private General Health Clinics, Public General Health Clinics, Drop in centres, Youth friendly centres, Private FP Clinics, Private Hospitals, Public Hospitals, NGOs/Model sites, Public STI Clinic</t>
  </si>
  <si>
    <t>Yr1&amp;2 - Gilead
Yr3&amp;4 - MOH</t>
  </si>
  <si>
    <t>to implement operational research to answer several questions on cost effectiveness, cost per client, feasibility and acceptability of Oral PrEP</t>
  </si>
  <si>
    <t>To find how much it cost to put a client on Oral PrEP</t>
  </si>
  <si>
    <t xml:space="preserve">In addition to national indicators, collect Client level data which include baseline information, initiation and follow up 
Program level data 
</t>
  </si>
  <si>
    <t>CDC</t>
  </si>
  <si>
    <t>DFID</t>
  </si>
  <si>
    <t>CDC, DFID</t>
  </si>
  <si>
    <t>Dr. Fredrick Otieno FOtieno@nrhskenya.org 0721 759867</t>
  </si>
  <si>
    <t>Nyanza Reproductive Heath Society</t>
  </si>
  <si>
    <t xml:space="preserve">1. Assess proportion of HIV-negative MSM eligible for PrEP and proportion accepting PrEP when offered
2. Assess adherence to PrEP among those initiating
3. Drug presence at 3 and 9 months in a sub-sample of 160 high-risk men using DBS
</t>
  </si>
  <si>
    <t>Jan 2017 to June 2018</t>
  </si>
  <si>
    <t xml:space="preserve">MSM </t>
  </si>
  <si>
    <t>18-35</t>
  </si>
  <si>
    <t>156 - Initiation Jan 2017</t>
  </si>
  <si>
    <t>behavioural ACASI, medical evaluation and laboratory forms</t>
  </si>
  <si>
    <t>To receive donations from Gilead</t>
  </si>
  <si>
    <r>
      <t xml:space="preserve">Anza Mapema
</t>
    </r>
    <r>
      <rPr>
        <sz val="10"/>
        <rFont val="Calibri"/>
        <family val="2"/>
        <scheme val="minor"/>
      </rPr>
      <t>Research targeting MSM to see how many take up PrEP when offered</t>
    </r>
  </si>
  <si>
    <t>Anza Mapema Tom Mboya Clinic and Anza Mapema Town Clinic all within Kisumu town</t>
  </si>
  <si>
    <t>Risk assessment tools, Clinic flow chart diagrams, SOPs for offering PrEP/job aids, Clinic encounter forms, Follow up forms, Protocols for stopping PrEP, Adherence  monitoring SOP, Laboratory monitoring SOPs, M and E tools- data collection tools, summary forms, reporting forms, FAQs, Patient education tools, Training curriculum/slides for service providers, Training curriculum/slides for patients/communities, CSO/community engagement tools, Communication strategy, Community refill tools, Community mobilization tools</t>
  </si>
  <si>
    <t>UCSF</t>
  </si>
  <si>
    <t xml:space="preserve">• Elizabeth Bukusi , +254 720 617 503, ebukusi@rctp.or.ke
• Norton Sang, 0715778930 nortonsang@gmail.com
• James Ayieko 0720 925 262 jimayieko@gmail.com
</t>
  </si>
  <si>
    <t>Homa Bay, Migori</t>
  </si>
  <si>
    <t xml:space="preserve">Nyadenda HC 
Nyatoto HC
Sindo SCHNyamrisra HC 
Sindo DistrictOgongo HC
Homabay CH Kitare SCHKitare SCH
Magunga  HC
Godbura HC - St Camilus, Nyandiwa, Lwanda GwassiKisegi SDH
Kisaku DispensaryTom Mboya HC
Rusinga Island of Hope Humanist HC
Sena SCH
Yokia Dispensary
Takawiri DispensaryOngo Health Centre
Othoro SDH 
Rapogi HFBware dispensary, Sibuoche dispensary 
(Outside community – Midida)
</t>
  </si>
  <si>
    <t>General Population</t>
  </si>
  <si>
    <t>&gt;15</t>
  </si>
  <si>
    <t>Public Hospitals, Public General Health Clinics</t>
  </si>
  <si>
    <t>11250 - One year</t>
  </si>
  <si>
    <t>To determine the effect of targeted PrEP, targeted HIV testing and targeted treatment interventions on top of universal HIV treatment with streamlined care on 3 year cumulative HIV incidence in rural communities in Kenya.</t>
  </si>
  <si>
    <r>
      <t xml:space="preserve">SEARCH
</t>
    </r>
    <r>
      <rPr>
        <sz val="10"/>
        <rFont val="Calibri"/>
        <family val="2"/>
        <scheme val="minor"/>
      </rPr>
      <t>Randomized community trial that quantifies the effect of providing PrEP to individuals at substantial ongoing risk of HIV infection from a community model approach</t>
    </r>
    <r>
      <rPr>
        <b/>
        <sz val="10"/>
        <rFont val="Calibri"/>
        <family val="2"/>
        <scheme val="minor"/>
      </rPr>
      <t xml:space="preserve">
</t>
    </r>
  </si>
  <si>
    <t>NYAMRISRA, Ogongo, Tom Mboya, Sena, Bware, Sibuoche</t>
  </si>
  <si>
    <t>1800 - Start July 2016</t>
  </si>
  <si>
    <t>To be determined</t>
  </si>
  <si>
    <t>PrEP implementing project sites</t>
  </si>
  <si>
    <t>1000 (demo)
(1980 year 1, 2820 year 2) - (scale-up)</t>
  </si>
  <si>
    <t>TDF/FTC or TDF
37584 packs of Truvada (scale-up)
9804 in year 1, 25184 in year 2 and 2596 in year 3</t>
  </si>
  <si>
    <t xml:space="preserve"> Consumer Demand Driven PrEP use for adolescent Girls and Young Women in Kenya</t>
  </si>
  <si>
    <t>John Snow Inc</t>
  </si>
  <si>
    <t xml:space="preserve">Mercy Mutonyi Wafula
mercymutonyi@bhesp.org </t>
  </si>
  <si>
    <t>BHESP</t>
  </si>
  <si>
    <t>Kasarani, Githurai, Zimmerman, Mwiki, Kariobangi, Saika, Eastleigh, Huruma, Kayole, Majengo, Kiambiu, Ruaraka</t>
  </si>
  <si>
    <t xml:space="preserve">BHESP Wellness centre Jogoo road
BHESP Wellness centre Dandora
Mama Lucy Kibaki Hospital
Makadara Health Centre
Dandora Health centre
Mathare North Health Centre
</t>
  </si>
  <si>
    <t>October 2016-September 2018</t>
  </si>
  <si>
    <t xml:space="preserve">Adolescent girls </t>
  </si>
  <si>
    <t>Public General Health Clinics, , NGOs/Model sites</t>
  </si>
  <si>
    <t>1500, First enrollment in January 2017</t>
  </si>
  <si>
    <t>To be provided by GILEAD</t>
  </si>
  <si>
    <t xml:space="preserve"> Number of AGYWs reached with PrEP promotional messages 
Number of target AGYW enrolled on PrEP
% of AGYWs retained on PrEP medication through risk period/annually
% adherence to PrEP medication among users
Number of PrEP medication users testing for HIV and given test result quarterly
Number of new HIV infections among PrEP medication users
Number of Outreaches conducted
Number of PE Trainings Conducted
Number of AGYW reached with PE training
Number of AGYW reached in Support Group meetings
</t>
  </si>
  <si>
    <t xml:space="preserve">STI cases occurrences
Number of sero conversion
Number of PAC cases
</t>
  </si>
  <si>
    <t xml:space="preserve">P.E calendars and Organisation data base
Facility and community PrEP registers
Databases 
Program monitoring tools 
HTS register, 
Training reports 
Attendance list
Attendance register
Reports
</t>
  </si>
  <si>
    <t>The approach in this project is focused on creating demand rather than mobilizing clients for service provision. The narrative will change from supply driven to demand driven.
-Getting PrEP into The consumers’ (AGYW) hands so that they can prevent themselves from HIV infection
-Promote a responsible choice on their health and place a high on their lifestyle and social life
-Ensure accessibility and availability of PrEP package commodities.</t>
  </si>
  <si>
    <t>ATHENA Network</t>
  </si>
  <si>
    <t>PIPE (Kenya) and  ICWEA (Uganda)</t>
  </si>
  <si>
    <t>Jacqui Stevenson jacqui@athenanetwork.org</t>
  </si>
  <si>
    <t>USAID/PEPRAF (DREAMS Innovation Challenge)</t>
  </si>
  <si>
    <t>Nairobi Eastern Suburbs and HomaBay</t>
  </si>
  <si>
    <t>Homa Bay, Nairobi</t>
  </si>
  <si>
    <t xml:space="preserve">Advocacy, Implementation Science Research </t>
  </si>
  <si>
    <t>October 2016 – September 2018</t>
  </si>
  <si>
    <t xml:space="preserve">LEARN
Our project is a small pilot project to implement participatory, community led research and advocacy by, with and for young women and adolescent girls. Our research will be looking at the needs, priorities and preferences of this population with regard to PrEP access, uptake and adherence in the broader context of HIV prevention and sexual and reproductive health and rights. </t>
  </si>
  <si>
    <t>Proposed, Ongoing</t>
  </si>
  <si>
    <t>Adolescent girls</t>
  </si>
  <si>
    <t>&lt;24</t>
  </si>
  <si>
    <t xml:space="preserve"> define their priorities, set agendas and lead research
 gather meaningful data in safe, learning environments
 contribute to the formal evidence base around HIV prevention science
 advocate for prevention programming reflecting adolescent girls’ and young women’s lived realities, values and preferences
 empower adolescent girls and young women with the agency to make and enact decisions regarding their sexual and reproductive health, in the context of HIV prevention
</t>
  </si>
  <si>
    <t>No PrEP provision</t>
  </si>
  <si>
    <t xml:space="preserve">M and E tools- data collection tools, summary forms, reporting forms
CSO/community engagement tools
Community mobilization tools
</t>
  </si>
  <si>
    <t xml:space="preserve">1a. Use/application of new knowledge base in evidence-based advocacy and policy engagement
1b. Number and type of policy makers, decision makers and service providers engaged in dialogue with LEARN ambassadors
1c. New evidence generated and/or synthesized and published through the project 
2a. Number and range of positive engagements by LEARN ambassadors with existing and new civil society allies, including non-traditional allies
2b. Number of AGYW in each country trained and supported with leadership skills (disaggregated by age, HIV status, impacted population)
3b. Number of AGYW demonstrating increased levels of knowledge about PrEP, HIV prevention and SRHR
3c. Number of AGYW engaging in community fora / safe spaces (digital or physical)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</si>
</sst>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_);[Red]\(&quot;$&quot;#,##0\)"/>
  </numFmts>
  <fonts count="23" x14ac:knownFonts="1">
    <font>
      <sz val="11"/>
      <color theme="1"/>
      <name val="Calibri"/>
      <family val="2"/>
      <scheme val="minor"/>
    </font>
    <font>
      <b/>
      <sz val="10"/>
      <color theme="1"/>
      <name val="Calibri"/>
      <family val="2"/>
      <scheme val="minor"/>
    </font>
    <font>
      <sz val="10"/>
      <color theme="1"/>
      <name val="Calibri"/>
      <family val="2"/>
      <scheme val="minor"/>
    </font>
    <font>
      <b/>
      <sz val="10"/>
      <color theme="0"/>
      <name val="Calibri"/>
      <family val="2"/>
      <scheme val="minor"/>
    </font>
    <font>
      <sz val="10"/>
      <color theme="0"/>
      <name val="Calibri"/>
      <family val="2"/>
      <scheme val="minor"/>
    </font>
    <font>
      <sz val="10"/>
      <name val="Calibri"/>
      <family val="2"/>
      <scheme val="minor"/>
    </font>
    <font>
      <b/>
      <sz val="10"/>
      <name val="Calibri"/>
      <family val="2"/>
      <scheme val="minor"/>
    </font>
    <font>
      <sz val="12"/>
      <color rgb="FF000000"/>
      <name val="Calibri"/>
      <family val="2"/>
      <scheme val="minor"/>
    </font>
    <font>
      <sz val="11"/>
      <color theme="1"/>
      <name val="Calibri"/>
      <family val="2"/>
    </font>
    <font>
      <i/>
      <sz val="10"/>
      <color theme="0"/>
      <name val="Calibri"/>
      <family val="2"/>
      <scheme val="minor"/>
    </font>
    <font>
      <sz val="10"/>
      <color rgb="FF222222"/>
      <name val="Calibri"/>
      <family val="2"/>
      <scheme val="minor"/>
    </font>
    <font>
      <sz val="12"/>
      <color theme="1"/>
      <name val="Calibri"/>
      <family val="2"/>
      <scheme val="minor"/>
    </font>
    <font>
      <sz val="10"/>
      <color rgb="FFFF0000"/>
      <name val="Calibri"/>
      <family val="2"/>
      <scheme val="minor"/>
    </font>
    <font>
      <sz val="10"/>
      <color rgb="FF000000"/>
      <name val="Calibri"/>
      <family val="2"/>
      <scheme val="minor"/>
    </font>
    <font>
      <sz val="11"/>
      <name val="Calibri"/>
      <family val="2"/>
      <scheme val="minor"/>
    </font>
    <font>
      <sz val="7"/>
      <color theme="1"/>
      <name val="Times New Roman"/>
      <family val="1"/>
    </font>
    <font>
      <b/>
      <sz val="11"/>
      <color theme="1"/>
      <name val="Calibri"/>
      <family val="2"/>
      <scheme val="minor"/>
    </font>
    <font>
      <i/>
      <sz val="10"/>
      <color theme="1"/>
      <name val="Calibri"/>
      <family val="2"/>
      <scheme val="minor"/>
    </font>
    <font>
      <sz val="11"/>
      <color theme="1"/>
      <name val="Symbol"/>
      <family val="1"/>
      <charset val="2"/>
    </font>
    <font>
      <sz val="10"/>
      <name val="Arial"/>
      <family val="2"/>
    </font>
    <font>
      <i/>
      <sz val="11"/>
      <name val="Calibri"/>
      <family val="2"/>
      <scheme val="minor"/>
    </font>
    <font>
      <i/>
      <vertAlign val="superscript"/>
      <sz val="11"/>
      <name val="Calibri"/>
      <family val="2"/>
      <scheme val="minor"/>
    </font>
    <font>
      <sz val="11"/>
      <color rgb="FF000000"/>
      <name val="Calibri"/>
      <family val="2"/>
      <scheme val="minor"/>
    </font>
  </fonts>
  <fills count="4">
    <fill>
      <patternFill patternType="none"/>
    </fill>
    <fill>
      <patternFill patternType="gray125"/>
    </fill>
    <fill>
      <patternFill patternType="solid">
        <fgColor theme="0"/>
        <bgColor indexed="64"/>
      </patternFill>
    </fill>
    <fill>
      <patternFill patternType="solid">
        <fgColor rgb="FF7030A0"/>
        <bgColor indexed="64"/>
      </patternFill>
    </fill>
  </fills>
  <borders count="22">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auto="1"/>
      </left>
      <right style="thin">
        <color auto="1"/>
      </right>
      <top style="thin">
        <color auto="1"/>
      </top>
      <bottom style="thin">
        <color auto="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diagonal/>
    </border>
    <border>
      <left style="thin">
        <color theme="0" tint="-0.14999847407452621"/>
      </left>
      <right style="thin">
        <color theme="0" tint="-0.14999847407452621"/>
      </right>
      <top/>
      <bottom style="thin">
        <color theme="0" tint="-0.14999847407452621"/>
      </bottom>
      <diagonal/>
    </border>
    <border>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34998626667073579"/>
      </bottom>
      <diagonal/>
    </border>
    <border>
      <left style="thin">
        <color theme="0" tint="-0.14999847407452621"/>
      </left>
      <right/>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double">
        <color auto="1"/>
      </left>
      <right style="double">
        <color auto="1"/>
      </right>
      <top style="double">
        <color auto="1"/>
      </top>
      <bottom style="double">
        <color auto="1"/>
      </bottom>
      <diagonal/>
    </border>
    <border>
      <left style="thin">
        <color auto="1"/>
      </left>
      <right style="thin">
        <color auto="1"/>
      </right>
      <top/>
      <bottom style="thin">
        <color auto="1"/>
      </bottom>
      <diagonal/>
    </border>
    <border>
      <left style="double">
        <color auto="1"/>
      </left>
      <right style="double">
        <color auto="1"/>
      </right>
      <top style="double">
        <color auto="1"/>
      </top>
      <bottom/>
      <diagonal/>
    </border>
    <border>
      <left style="thin">
        <color auto="1"/>
      </left>
      <right/>
      <top/>
      <bottom/>
      <diagonal/>
    </border>
    <border>
      <left/>
      <right style="thin">
        <color auto="1"/>
      </right>
      <top/>
      <bottom/>
      <diagonal/>
    </border>
    <border>
      <left style="thin">
        <color auto="1"/>
      </left>
      <right style="thin">
        <color auto="1"/>
      </right>
      <top/>
      <bottom/>
      <diagonal/>
    </border>
    <border>
      <left style="double">
        <color auto="1"/>
      </left>
      <right/>
      <top/>
      <bottom/>
      <diagonal/>
    </border>
  </borders>
  <cellStyleXfs count="2">
    <xf numFmtId="0" fontId="0" fillId="0" borderId="0"/>
    <xf numFmtId="0" fontId="11" fillId="0" borderId="0"/>
  </cellStyleXfs>
  <cellXfs count="119">
    <xf numFmtId="0" fontId="0" fillId="0" borderId="0" xfId="0"/>
    <xf numFmtId="0" fontId="2" fillId="0" borderId="0" xfId="0" applyFont="1"/>
    <xf numFmtId="0" fontId="5" fillId="0" borderId="1" xfId="0" applyFont="1" applyFill="1" applyBorder="1" applyAlignment="1">
      <alignment vertical="top" wrapText="1"/>
    </xf>
    <xf numFmtId="0" fontId="2" fillId="0" borderId="1" xfId="0" applyFont="1" applyFill="1" applyBorder="1" applyAlignment="1">
      <alignment horizontal="left" vertical="top" wrapText="1"/>
    </xf>
    <xf numFmtId="0" fontId="5" fillId="0" borderId="0" xfId="0" applyFont="1" applyFill="1" applyBorder="1" applyAlignment="1">
      <alignment vertical="top" wrapText="1"/>
    </xf>
    <xf numFmtId="0" fontId="2" fillId="0" borderId="1" xfId="0" applyFont="1" applyBorder="1" applyAlignment="1">
      <alignment horizontal="left" vertical="top" wrapText="1"/>
    </xf>
    <xf numFmtId="0" fontId="2" fillId="0" borderId="0" xfId="0" applyFont="1" applyAlignment="1">
      <alignment wrapText="1"/>
    </xf>
    <xf numFmtId="0" fontId="5" fillId="0" borderId="1" xfId="0" applyFont="1" applyBorder="1" applyAlignment="1">
      <alignment horizontal="left" vertical="top" wrapText="1"/>
    </xf>
    <xf numFmtId="0" fontId="7" fillId="0" borderId="0" xfId="0" applyFont="1" applyAlignment="1">
      <alignment vertical="center"/>
    </xf>
    <xf numFmtId="0" fontId="2" fillId="0" borderId="0" xfId="0" applyFont="1" applyBorder="1" applyAlignment="1">
      <alignment horizontal="left" vertical="top" wrapText="1"/>
    </xf>
    <xf numFmtId="0" fontId="2" fillId="0" borderId="0" xfId="0" applyFont="1" applyFill="1" applyBorder="1" applyAlignment="1">
      <alignment horizontal="left" vertical="top" wrapText="1"/>
    </xf>
    <xf numFmtId="0" fontId="8" fillId="0" borderId="0" xfId="0" applyFont="1" applyFill="1" applyBorder="1" applyAlignment="1">
      <alignment vertical="center" wrapText="1"/>
    </xf>
    <xf numFmtId="0" fontId="5" fillId="0" borderId="3" xfId="0" applyFont="1" applyFill="1" applyBorder="1" applyAlignment="1">
      <alignment horizontal="left" vertical="center" wrapText="1"/>
    </xf>
    <xf numFmtId="0" fontId="6" fillId="0" borderId="3" xfId="0" applyFont="1" applyFill="1" applyBorder="1" applyAlignment="1">
      <alignment vertical="top" wrapText="1"/>
    </xf>
    <xf numFmtId="0" fontId="6" fillId="2" borderId="3" xfId="0" applyFont="1" applyFill="1" applyBorder="1" applyAlignment="1">
      <alignment vertical="top" wrapText="1"/>
    </xf>
    <xf numFmtId="0" fontId="5" fillId="2" borderId="3" xfId="0" applyFont="1" applyFill="1" applyBorder="1" applyAlignment="1">
      <alignment horizontal="left" vertical="center" wrapText="1"/>
    </xf>
    <xf numFmtId="0" fontId="2" fillId="2" borderId="3" xfId="0" applyFont="1" applyFill="1" applyBorder="1" applyAlignment="1">
      <alignment horizontal="left" vertical="center" wrapText="1"/>
    </xf>
    <xf numFmtId="0" fontId="2" fillId="0" borderId="3" xfId="0" applyFont="1" applyBorder="1" applyAlignment="1">
      <alignment horizontal="center" vertical="center" wrapText="1"/>
    </xf>
    <xf numFmtId="0" fontId="2" fillId="2" borderId="3" xfId="0" applyFont="1" applyFill="1" applyBorder="1" applyAlignment="1">
      <alignment horizontal="center" vertical="center" wrapText="1"/>
    </xf>
    <xf numFmtId="0" fontId="10" fillId="2" borderId="3" xfId="0" applyFont="1" applyFill="1" applyBorder="1" applyAlignment="1">
      <alignment horizontal="center" vertical="center" wrapText="1"/>
    </xf>
    <xf numFmtId="0" fontId="2" fillId="0" borderId="0" xfId="0" applyFont="1" applyAlignment="1">
      <alignment vertical="top" wrapText="1"/>
    </xf>
    <xf numFmtId="0" fontId="5" fillId="2" borderId="0" xfId="0" applyFont="1" applyFill="1" applyAlignment="1">
      <alignment vertical="top" wrapText="1"/>
    </xf>
    <xf numFmtId="0" fontId="2" fillId="0" borderId="0" xfId="0" applyFont="1" applyAlignment="1">
      <alignment vertical="center" wrapText="1"/>
    </xf>
    <xf numFmtId="0" fontId="3" fillId="3" borderId="2" xfId="0" applyFont="1" applyFill="1" applyBorder="1" applyAlignment="1">
      <alignment vertical="top" wrapText="1"/>
    </xf>
    <xf numFmtId="0" fontId="3" fillId="3" borderId="2" xfId="0" applyNumberFormat="1" applyFont="1" applyFill="1" applyBorder="1" applyAlignment="1">
      <alignment vertical="top" wrapText="1"/>
    </xf>
    <xf numFmtId="0" fontId="3" fillId="3" borderId="2" xfId="0" applyFont="1" applyFill="1" applyBorder="1" applyAlignment="1">
      <alignment horizontal="left" vertical="top" wrapText="1"/>
    </xf>
    <xf numFmtId="0" fontId="2" fillId="2" borderId="0" xfId="0" applyFont="1" applyFill="1" applyAlignment="1">
      <alignment wrapText="1"/>
    </xf>
    <xf numFmtId="0" fontId="2" fillId="2" borderId="0" xfId="0" applyFont="1" applyFill="1"/>
    <xf numFmtId="0" fontId="2" fillId="2" borderId="5" xfId="0" applyFont="1" applyFill="1" applyBorder="1"/>
    <xf numFmtId="0" fontId="2" fillId="0" borderId="6" xfId="0" applyFont="1" applyBorder="1"/>
    <xf numFmtId="0" fontId="2" fillId="0" borderId="4" xfId="0" applyFont="1" applyBorder="1"/>
    <xf numFmtId="0" fontId="2" fillId="2" borderId="6" xfId="0" applyFont="1" applyFill="1" applyBorder="1"/>
    <xf numFmtId="0" fontId="2" fillId="2" borderId="4" xfId="0" applyFont="1" applyFill="1" applyBorder="1"/>
    <xf numFmtId="0" fontId="12" fillId="0" borderId="0" xfId="0" applyFont="1"/>
    <xf numFmtId="0" fontId="2" fillId="0" borderId="7" xfId="0" applyFont="1" applyBorder="1" applyAlignment="1">
      <alignment horizontal="left" vertical="top" wrapText="1"/>
    </xf>
    <xf numFmtId="0" fontId="2" fillId="0" borderId="7" xfId="0" applyFont="1" applyFill="1" applyBorder="1" applyAlignment="1">
      <alignment horizontal="left" vertical="top" wrapText="1"/>
    </xf>
    <xf numFmtId="0" fontId="8" fillId="0" borderId="8" xfId="0" applyFont="1" applyFill="1" applyBorder="1" applyAlignment="1">
      <alignment vertical="center" wrapText="1"/>
    </xf>
    <xf numFmtId="0" fontId="5" fillId="0" borderId="7" xfId="0" applyFont="1" applyFill="1" applyBorder="1" applyAlignment="1">
      <alignment vertical="top" wrapText="1"/>
    </xf>
    <xf numFmtId="0" fontId="12" fillId="0" borderId="0" xfId="0" applyFont="1" applyAlignment="1">
      <alignment horizontal="center" vertical="center" wrapText="1"/>
    </xf>
    <xf numFmtId="0" fontId="2" fillId="2" borderId="10" xfId="0" applyFont="1" applyFill="1" applyBorder="1" applyAlignment="1">
      <alignment horizontal="center" vertical="center" wrapText="1"/>
    </xf>
    <xf numFmtId="0" fontId="5" fillId="0" borderId="10" xfId="0" applyFont="1" applyFill="1" applyBorder="1" applyAlignment="1">
      <alignment horizontal="center" vertical="center" wrapText="1"/>
    </xf>
    <xf numFmtId="0" fontId="1" fillId="2" borderId="10" xfId="0" applyFont="1" applyFill="1" applyBorder="1" applyAlignment="1">
      <alignment vertical="top" wrapText="1"/>
    </xf>
    <xf numFmtId="0" fontId="5" fillId="2" borderId="11" xfId="0" applyFont="1" applyFill="1" applyBorder="1" applyAlignment="1">
      <alignment horizontal="left" vertical="center" wrapText="1"/>
    </xf>
    <xf numFmtId="0" fontId="5" fillId="2" borderId="12" xfId="0" applyFont="1" applyFill="1" applyBorder="1" applyAlignment="1">
      <alignment horizontal="left" vertical="center" wrapText="1"/>
    </xf>
    <xf numFmtId="0" fontId="2" fillId="2" borderId="12" xfId="0" applyFont="1" applyFill="1" applyBorder="1" applyAlignment="1">
      <alignment horizontal="left" vertical="center" wrapText="1"/>
    </xf>
    <xf numFmtId="3" fontId="2" fillId="2" borderId="10" xfId="0" applyNumberFormat="1" applyFont="1" applyFill="1" applyBorder="1" applyAlignment="1">
      <alignment horizontal="center" vertical="center" wrapText="1"/>
    </xf>
    <xf numFmtId="0" fontId="2" fillId="0" borderId="3" xfId="0" applyFont="1" applyBorder="1" applyAlignment="1">
      <alignment vertical="center"/>
    </xf>
    <xf numFmtId="0" fontId="2" fillId="0" borderId="3" xfId="0" applyFont="1" applyBorder="1" applyAlignment="1">
      <alignment wrapText="1"/>
    </xf>
    <xf numFmtId="0" fontId="1" fillId="2" borderId="3" xfId="1" applyFont="1" applyFill="1" applyBorder="1" applyAlignment="1">
      <alignment vertical="center" wrapText="1"/>
    </xf>
    <xf numFmtId="0" fontId="2" fillId="0" borderId="3" xfId="0" applyFont="1" applyBorder="1" applyAlignment="1">
      <alignment vertical="center" wrapText="1"/>
    </xf>
    <xf numFmtId="0" fontId="2" fillId="2" borderId="10" xfId="0" applyFont="1" applyFill="1" applyBorder="1" applyAlignment="1">
      <alignment horizontal="left" vertical="center" wrapText="1"/>
    </xf>
    <xf numFmtId="0" fontId="6" fillId="2" borderId="10" xfId="0" applyFont="1" applyFill="1" applyBorder="1" applyAlignment="1">
      <alignment horizontal="left" vertical="top" wrapText="1"/>
    </xf>
    <xf numFmtId="0" fontId="5" fillId="2" borderId="13" xfId="0" applyFont="1" applyFill="1" applyBorder="1" applyAlignment="1">
      <alignment horizontal="left" vertical="center" wrapText="1"/>
    </xf>
    <xf numFmtId="0" fontId="2" fillId="0" borderId="10" xfId="0" applyFont="1" applyBorder="1" applyAlignment="1">
      <alignment vertical="center"/>
    </xf>
    <xf numFmtId="0" fontId="5" fillId="2" borderId="14" xfId="0" applyFont="1" applyFill="1" applyBorder="1" applyAlignment="1">
      <alignment horizontal="left" vertical="center" wrapText="1"/>
    </xf>
    <xf numFmtId="0" fontId="5" fillId="0" borderId="10" xfId="0" applyFont="1" applyFill="1" applyBorder="1" applyAlignment="1">
      <alignment horizontal="left" vertical="center" wrapText="1"/>
    </xf>
    <xf numFmtId="0" fontId="5" fillId="2" borderId="10" xfId="0" applyFont="1" applyFill="1" applyBorder="1" applyAlignment="1">
      <alignment horizontal="left" vertical="center" wrapText="1"/>
    </xf>
    <xf numFmtId="0" fontId="5" fillId="2" borderId="10" xfId="0" applyFont="1" applyFill="1" applyBorder="1" applyAlignment="1">
      <alignment horizontal="center" vertical="center" wrapText="1"/>
    </xf>
    <xf numFmtId="3" fontId="5" fillId="2" borderId="10" xfId="0" applyNumberFormat="1" applyFont="1" applyFill="1" applyBorder="1" applyAlignment="1">
      <alignment horizontal="left" vertical="center" wrapText="1"/>
    </xf>
    <xf numFmtId="0" fontId="13" fillId="0" borderId="3" xfId="0" applyFont="1" applyBorder="1" applyAlignment="1">
      <alignment vertical="center" wrapText="1"/>
    </xf>
    <xf numFmtId="0" fontId="0" fillId="0" borderId="0" xfId="0" applyAlignment="1">
      <alignment wrapText="1"/>
    </xf>
    <xf numFmtId="0" fontId="2" fillId="2" borderId="9" xfId="0" applyFont="1" applyFill="1" applyBorder="1"/>
    <xf numFmtId="0" fontId="2" fillId="2" borderId="0" xfId="0" applyFont="1" applyFill="1" applyBorder="1"/>
    <xf numFmtId="0" fontId="2" fillId="0" borderId="0" xfId="0" applyFont="1" applyBorder="1"/>
    <xf numFmtId="0" fontId="2" fillId="0" borderId="10" xfId="0" applyFont="1" applyBorder="1" applyAlignment="1">
      <alignment vertical="center" wrapText="1"/>
    </xf>
    <xf numFmtId="0" fontId="2" fillId="0" borderId="3" xfId="0" applyFont="1" applyBorder="1" applyAlignment="1">
      <alignment vertical="top" wrapText="1"/>
    </xf>
    <xf numFmtId="0" fontId="2" fillId="0" borderId="11" xfId="0" applyFont="1" applyBorder="1" applyAlignment="1">
      <alignment vertical="center" wrapText="1"/>
    </xf>
    <xf numFmtId="0" fontId="2" fillId="2" borderId="11" xfId="0" applyFont="1" applyFill="1" applyBorder="1" applyAlignment="1">
      <alignment vertical="center" wrapText="1"/>
    </xf>
    <xf numFmtId="0" fontId="5" fillId="0" borderId="3" xfId="0" applyFont="1" applyBorder="1" applyAlignment="1">
      <alignment wrapText="1"/>
    </xf>
    <xf numFmtId="0" fontId="2" fillId="2" borderId="3" xfId="0" applyFont="1" applyFill="1" applyBorder="1" applyAlignment="1">
      <alignment vertical="center" wrapText="1"/>
    </xf>
    <xf numFmtId="0" fontId="5" fillId="2" borderId="16" xfId="0" applyFont="1" applyFill="1" applyBorder="1" applyAlignment="1">
      <alignment horizontal="left" vertical="center" wrapText="1"/>
    </xf>
    <xf numFmtId="0" fontId="2" fillId="0" borderId="16" xfId="0" applyFont="1" applyBorder="1" applyAlignment="1">
      <alignment horizontal="justify" vertical="center"/>
    </xf>
    <xf numFmtId="0" fontId="5" fillId="2" borderId="15" xfId="0" applyFont="1" applyFill="1" applyBorder="1" applyAlignment="1">
      <alignment horizontal="left" vertical="center" wrapText="1"/>
    </xf>
    <xf numFmtId="0" fontId="2" fillId="0" borderId="15" xfId="0" applyFont="1" applyBorder="1" applyAlignment="1">
      <alignment vertical="center" wrapText="1"/>
    </xf>
    <xf numFmtId="0" fontId="2" fillId="0" borderId="11" xfId="0" applyFont="1" applyBorder="1" applyAlignment="1">
      <alignment wrapText="1"/>
    </xf>
    <xf numFmtId="0" fontId="2" fillId="2" borderId="14" xfId="0" applyFont="1" applyFill="1" applyBorder="1" applyAlignment="1">
      <alignment horizontal="center" vertical="center" wrapText="1"/>
    </xf>
    <xf numFmtId="0" fontId="2" fillId="0" borderId="12" xfId="0" applyFont="1" applyBorder="1" applyAlignment="1">
      <alignment vertical="top" wrapText="1"/>
    </xf>
    <xf numFmtId="0" fontId="2" fillId="2" borderId="15" xfId="0" applyFont="1" applyFill="1" applyBorder="1" applyAlignment="1">
      <alignment horizontal="center" vertical="center" wrapText="1"/>
    </xf>
    <xf numFmtId="0" fontId="14" fillId="0" borderId="15" xfId="0" applyFont="1" applyBorder="1" applyAlignment="1">
      <alignment vertical="center" wrapText="1"/>
    </xf>
    <xf numFmtId="0" fontId="18" fillId="0" borderId="0" xfId="0" applyFont="1" applyAlignment="1">
      <alignment horizontal="left" vertical="center" wrapText="1" indent="2"/>
    </xf>
    <xf numFmtId="3" fontId="0" fillId="0" borderId="0" xfId="0" applyNumberFormat="1" applyAlignment="1">
      <alignment horizontal="center" vertical="center"/>
    </xf>
    <xf numFmtId="0" fontId="5" fillId="0" borderId="3" xfId="0" applyFont="1" applyBorder="1" applyAlignment="1">
      <alignment vertical="center" wrapText="1"/>
    </xf>
    <xf numFmtId="0" fontId="5" fillId="0" borderId="14" xfId="0" applyFont="1" applyFill="1" applyBorder="1" applyAlignment="1">
      <alignment horizontal="left" vertical="center" wrapText="1"/>
    </xf>
    <xf numFmtId="0" fontId="2" fillId="0" borderId="17" xfId="0" applyFont="1" applyBorder="1" applyAlignment="1">
      <alignment vertical="center" wrapText="1"/>
    </xf>
    <xf numFmtId="0" fontId="5" fillId="2" borderId="18" xfId="0" applyFont="1" applyFill="1" applyBorder="1" applyAlignment="1">
      <alignment horizontal="left" vertical="center" wrapText="1"/>
    </xf>
    <xf numFmtId="0" fontId="19" fillId="0" borderId="0" xfId="0" applyFont="1" applyAlignment="1">
      <alignment vertical="top" wrapText="1"/>
    </xf>
    <xf numFmtId="0" fontId="20" fillId="0" borderId="0" xfId="0" applyFont="1" applyAlignment="1">
      <alignment horizontal="left" vertical="center" wrapText="1"/>
    </xf>
    <xf numFmtId="3" fontId="2" fillId="0" borderId="3" xfId="0" applyNumberFormat="1" applyFont="1" applyBorder="1" applyAlignment="1">
      <alignment horizontal="left" vertical="top" wrapText="1"/>
    </xf>
    <xf numFmtId="0" fontId="16" fillId="0" borderId="0" xfId="0" applyFont="1" applyAlignment="1">
      <alignment vertical="center" wrapText="1"/>
    </xf>
    <xf numFmtId="0" fontId="0" fillId="0" borderId="0" xfId="0" applyFont="1" applyAlignment="1">
      <alignment vertical="center" wrapText="1"/>
    </xf>
    <xf numFmtId="6" fontId="16" fillId="0" borderId="0" xfId="0" applyNumberFormat="1" applyFont="1" applyAlignment="1">
      <alignment horizontal="left" vertical="center"/>
    </xf>
    <xf numFmtId="0" fontId="2" fillId="0" borderId="13" xfId="0" applyFont="1" applyBorder="1" applyAlignment="1">
      <alignment vertical="center" wrapText="1"/>
    </xf>
    <xf numFmtId="0" fontId="5" fillId="2" borderId="17" xfId="0" applyFont="1" applyFill="1" applyBorder="1" applyAlignment="1">
      <alignment horizontal="left" vertical="center" wrapText="1"/>
    </xf>
    <xf numFmtId="0" fontId="14" fillId="0" borderId="17" xfId="0" applyFont="1" applyBorder="1" applyAlignment="1">
      <alignment vertical="center" wrapText="1"/>
    </xf>
    <xf numFmtId="0" fontId="6" fillId="2" borderId="20" xfId="0" applyFont="1" applyFill="1" applyBorder="1" applyAlignment="1">
      <alignment horizontal="left" vertical="top" wrapText="1"/>
    </xf>
    <xf numFmtId="0" fontId="6" fillId="2" borderId="15" xfId="0" applyFont="1" applyFill="1" applyBorder="1" applyAlignment="1">
      <alignment horizontal="left" vertical="top" wrapText="1"/>
    </xf>
    <xf numFmtId="0" fontId="5" fillId="0" borderId="15" xfId="0" applyFont="1" applyFill="1" applyBorder="1" applyAlignment="1">
      <alignment horizontal="left" vertical="center" wrapText="1"/>
    </xf>
    <xf numFmtId="0" fontId="0" fillId="0" borderId="15" xfId="0" applyFont="1" applyBorder="1" applyAlignment="1">
      <alignment vertical="center" wrapText="1"/>
    </xf>
    <xf numFmtId="0" fontId="22" fillId="0" borderId="0" xfId="0" applyFont="1" applyAlignment="1">
      <alignment vertical="center"/>
    </xf>
    <xf numFmtId="0" fontId="5" fillId="0" borderId="19" xfId="0" applyFont="1" applyFill="1" applyBorder="1" applyAlignment="1">
      <alignment horizontal="left" vertical="center" wrapText="1"/>
    </xf>
    <xf numFmtId="0" fontId="5" fillId="2" borderId="3" xfId="0" applyFont="1" applyFill="1" applyBorder="1" applyAlignment="1">
      <alignment horizontal="left" vertical="top" wrapText="1"/>
    </xf>
    <xf numFmtId="0" fontId="0" fillId="0" borderId="0" xfId="0" applyFont="1" applyAlignment="1">
      <alignment wrapText="1"/>
    </xf>
    <xf numFmtId="6" fontId="5" fillId="2" borderId="3" xfId="0" applyNumberFormat="1" applyFont="1" applyFill="1" applyBorder="1" applyAlignment="1">
      <alignment horizontal="left" vertical="center" wrapText="1"/>
    </xf>
    <xf numFmtId="0" fontId="2" fillId="0" borderId="21" xfId="0" applyFont="1" applyBorder="1" applyAlignment="1">
      <alignment vertical="center" wrapText="1"/>
    </xf>
    <xf numFmtId="0" fontId="22" fillId="0" borderId="17" xfId="0" applyFont="1" applyBorder="1" applyAlignment="1">
      <alignment vertical="center" wrapText="1"/>
    </xf>
    <xf numFmtId="0" fontId="2" fillId="0" borderId="10" xfId="0" applyFont="1" applyBorder="1" applyAlignment="1">
      <alignment vertical="top" wrapText="1"/>
    </xf>
    <xf numFmtId="0" fontId="0" fillId="0" borderId="17" xfId="0" applyFont="1" applyBorder="1" applyAlignment="1">
      <alignment vertical="center" wrapText="1"/>
    </xf>
    <xf numFmtId="6" fontId="16" fillId="0" borderId="17" xfId="0" applyNumberFormat="1" applyFont="1" applyBorder="1" applyAlignment="1">
      <alignment horizontal="left" vertical="center"/>
    </xf>
    <xf numFmtId="0" fontId="6" fillId="2" borderId="3" xfId="0" applyFont="1" applyFill="1" applyBorder="1" applyAlignment="1">
      <alignment horizontal="left" vertical="top" wrapText="1"/>
    </xf>
    <xf numFmtId="0" fontId="22" fillId="0" borderId="3" xfId="0" applyFont="1" applyBorder="1" applyAlignment="1">
      <alignment vertical="center" wrapText="1"/>
    </xf>
    <xf numFmtId="0" fontId="0" fillId="0" borderId="3" xfId="0" applyFont="1" applyBorder="1" applyAlignment="1">
      <alignment vertical="center" wrapText="1"/>
    </xf>
    <xf numFmtId="0" fontId="5" fillId="2" borderId="3" xfId="0" applyFont="1" applyFill="1" applyBorder="1" applyAlignment="1">
      <alignment horizontal="center" vertical="center" wrapText="1"/>
    </xf>
    <xf numFmtId="6" fontId="16" fillId="0" borderId="3" xfId="0" applyNumberFormat="1" applyFont="1" applyBorder="1" applyAlignment="1">
      <alignment horizontal="left" vertical="center"/>
    </xf>
    <xf numFmtId="0" fontId="0" fillId="0" borderId="0" xfId="0" applyAlignment="1">
      <alignment horizontal="left" vertical="center" wrapText="1" indent="2"/>
    </xf>
    <xf numFmtId="0" fontId="0" fillId="0" borderId="0" xfId="0" applyAlignment="1">
      <alignment vertical="center" wrapText="1"/>
    </xf>
    <xf numFmtId="0" fontId="2" fillId="0" borderId="0" xfId="0" applyFont="1" applyAlignment="1">
      <alignment vertical="top" wrapText="1"/>
    </xf>
    <xf numFmtId="0" fontId="12" fillId="0" borderId="0" xfId="0" applyFont="1" applyAlignment="1">
      <alignment horizontal="center" vertical="center" wrapText="1"/>
    </xf>
    <xf numFmtId="0" fontId="12" fillId="0" borderId="0" xfId="0" applyFont="1" applyAlignment="1">
      <alignment horizontal="center" wrapText="1"/>
    </xf>
    <xf numFmtId="0" fontId="12" fillId="0" borderId="9" xfId="0" applyFont="1" applyBorder="1" applyAlignment="1">
      <alignment horizontal="center" vertical="center" wrapText="1"/>
    </xf>
  </cellXfs>
  <cellStyles count="2">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ustomXml" Target="../customXml/item1.xml"/><Relationship Id="rId8" Type="http://schemas.openxmlformats.org/officeDocument/2006/relationships/customXml" Target="../customXml/item2.xml"/><Relationship Id="rId9" Type="http://schemas.openxmlformats.org/officeDocument/2006/relationships/customXml" Target="../customXml/item3.xml"/><Relationship Id="rId10"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1360170</xdr:colOff>
      <xdr:row>1</xdr:row>
      <xdr:rowOff>9525</xdr:rowOff>
    </xdr:to>
    <xdr:pic>
      <xdr:nvPicPr>
        <xdr:cNvPr id="2" name="Picture 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4686300" cy="9715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Z38"/>
  <sheetViews>
    <sheetView showGridLines="0" tabSelected="1" zoomScale="70" zoomScaleNormal="70" zoomScalePageLayoutView="70" workbookViewId="0">
      <pane ySplit="2" topLeftCell="A3" activePane="bottomLeft" state="frozen"/>
      <selection activeCell="F1" sqref="F1"/>
      <selection pane="bottomLeft" activeCell="W2" sqref="W2"/>
    </sheetView>
  </sheetViews>
  <sheetFormatPr baseColWidth="10" defaultColWidth="8.83203125" defaultRowHeight="14" x14ac:dyDescent="0.2"/>
  <cols>
    <col min="1" max="1" width="48.5" style="6" customWidth="1"/>
    <col min="2" max="2" width="20.33203125" style="6" customWidth="1"/>
    <col min="3" max="3" width="21.1640625" style="6" customWidth="1"/>
    <col min="4" max="4" width="19.6640625" style="6" customWidth="1"/>
    <col min="5" max="5" width="24.1640625" style="6" customWidth="1"/>
    <col min="6" max="6" width="18.1640625" style="6" customWidth="1"/>
    <col min="7" max="7" width="44.83203125" style="6" customWidth="1"/>
    <col min="8" max="8" width="19.6640625" style="6" customWidth="1"/>
    <col min="9" max="9" width="31.83203125" style="6" customWidth="1"/>
    <col min="10" max="10" width="25" style="6" customWidth="1"/>
    <col min="11" max="16" width="19.6640625" style="6" customWidth="1"/>
    <col min="17" max="17" width="39.33203125" style="6" customWidth="1"/>
    <col min="18" max="18" width="34.5" style="6" customWidth="1"/>
    <col min="19" max="19" width="32.83203125" style="6" customWidth="1"/>
    <col min="20" max="20" width="42.33203125" style="6" customWidth="1"/>
    <col min="21" max="21" width="34.1640625" style="6" customWidth="1"/>
    <col min="22" max="22" width="37.5" style="6" customWidth="1"/>
    <col min="23" max="23" width="43.5" style="6" customWidth="1"/>
    <col min="24" max="24" width="40.5" style="6" customWidth="1"/>
    <col min="25" max="25" width="38.1640625" style="6" customWidth="1"/>
    <col min="26" max="26" width="19.6640625" style="6" customWidth="1"/>
    <col min="27" max="16384" width="8.83203125" style="6"/>
  </cols>
  <sheetData>
    <row r="1" spans="1:26" ht="75.5" customHeight="1" x14ac:dyDescent="0.2">
      <c r="A1" s="115"/>
      <c r="B1" s="115"/>
      <c r="C1" s="115"/>
      <c r="D1" s="115"/>
      <c r="E1" s="115"/>
      <c r="F1" s="115"/>
      <c r="G1" s="115"/>
      <c r="H1" s="115"/>
      <c r="I1" s="115"/>
      <c r="J1" s="115"/>
      <c r="K1" s="115"/>
      <c r="L1" s="115"/>
      <c r="M1" s="115"/>
      <c r="N1" s="115"/>
      <c r="O1" s="115"/>
      <c r="P1" s="115"/>
      <c r="Q1" s="115"/>
      <c r="R1" s="115"/>
      <c r="S1" s="115"/>
      <c r="T1" s="115"/>
      <c r="U1" s="115"/>
      <c r="V1" s="115"/>
      <c r="W1" s="115"/>
      <c r="X1" s="115"/>
      <c r="Y1" s="115"/>
      <c r="Z1" s="115"/>
    </row>
    <row r="2" spans="1:26" s="20" customFormat="1" ht="84.75" customHeight="1" thickBot="1" x14ac:dyDescent="0.25">
      <c r="A2" s="23" t="s">
        <v>0</v>
      </c>
      <c r="B2" s="23" t="s">
        <v>1</v>
      </c>
      <c r="C2" s="23" t="s">
        <v>60</v>
      </c>
      <c r="D2" s="24" t="s">
        <v>2</v>
      </c>
      <c r="E2" s="23" t="s">
        <v>126</v>
      </c>
      <c r="F2" s="23" t="s">
        <v>3</v>
      </c>
      <c r="G2" s="23" t="s">
        <v>214</v>
      </c>
      <c r="H2" s="23" t="s">
        <v>151</v>
      </c>
      <c r="I2" s="25" t="s">
        <v>5</v>
      </c>
      <c r="J2" s="23" t="s">
        <v>6</v>
      </c>
      <c r="K2" s="23" t="s">
        <v>7</v>
      </c>
      <c r="L2" s="23" t="s">
        <v>8</v>
      </c>
      <c r="M2" s="23" t="s">
        <v>9</v>
      </c>
      <c r="N2" s="23" t="s">
        <v>62</v>
      </c>
      <c r="O2" s="23" t="s">
        <v>10</v>
      </c>
      <c r="P2" s="23" t="s">
        <v>219</v>
      </c>
      <c r="Q2" s="23" t="s">
        <v>11</v>
      </c>
      <c r="R2" s="23" t="s">
        <v>12</v>
      </c>
      <c r="S2" s="23" t="s">
        <v>13</v>
      </c>
      <c r="T2" s="23" t="s">
        <v>63</v>
      </c>
      <c r="U2" s="23" t="s">
        <v>14</v>
      </c>
      <c r="V2" s="23" t="s">
        <v>15</v>
      </c>
      <c r="W2" s="23" t="s">
        <v>217</v>
      </c>
      <c r="X2" s="23" t="s">
        <v>221</v>
      </c>
      <c r="Y2" s="23" t="s">
        <v>194</v>
      </c>
      <c r="Z2" s="23" t="s">
        <v>61</v>
      </c>
    </row>
    <row r="3" spans="1:26" s="21" customFormat="1" ht="84" customHeight="1" thickTop="1" thickBot="1" x14ac:dyDescent="0.25">
      <c r="A3" s="41" t="s">
        <v>112</v>
      </c>
      <c r="B3" s="16" t="s">
        <v>180</v>
      </c>
      <c r="C3" s="12" t="s">
        <v>169</v>
      </c>
      <c r="D3" s="101" t="s">
        <v>232</v>
      </c>
      <c r="E3" s="40" t="s">
        <v>236</v>
      </c>
      <c r="F3" s="39" t="s">
        <v>179</v>
      </c>
      <c r="G3" s="39" t="s">
        <v>278</v>
      </c>
      <c r="H3" s="39" t="s">
        <v>231</v>
      </c>
      <c r="I3" s="60" t="s">
        <v>230</v>
      </c>
      <c r="J3" s="15" t="s">
        <v>52</v>
      </c>
      <c r="K3" s="50" t="s">
        <v>17</v>
      </c>
      <c r="L3" s="69" t="s">
        <v>234</v>
      </c>
      <c r="M3" s="39" t="s">
        <v>18</v>
      </c>
      <c r="N3" s="39" t="s">
        <v>235</v>
      </c>
      <c r="O3" s="80">
        <v>15200</v>
      </c>
      <c r="P3" s="45"/>
      <c r="Q3" s="39"/>
      <c r="R3" s="39" t="s">
        <v>237</v>
      </c>
      <c r="S3" s="39"/>
      <c r="T3" s="39"/>
      <c r="U3" s="18"/>
      <c r="V3" s="39"/>
      <c r="W3" s="79" t="s">
        <v>233</v>
      </c>
      <c r="X3" s="77"/>
      <c r="Y3" s="75"/>
      <c r="Z3" s="46"/>
    </row>
    <row r="4" spans="1:26" s="21" customFormat="1" ht="180" customHeight="1" thickTop="1" thickBot="1" x14ac:dyDescent="0.25">
      <c r="A4" s="14" t="s">
        <v>170</v>
      </c>
      <c r="B4" s="42" t="s">
        <v>111</v>
      </c>
      <c r="C4" s="12" t="s">
        <v>184</v>
      </c>
      <c r="D4" s="44"/>
      <c r="E4" s="12" t="s">
        <v>191</v>
      </c>
      <c r="F4" s="49" t="s">
        <v>183</v>
      </c>
      <c r="G4" s="49" t="s">
        <v>279</v>
      </c>
      <c r="H4" s="18" t="s">
        <v>181</v>
      </c>
      <c r="I4" s="81" t="s">
        <v>182</v>
      </c>
      <c r="J4" s="15" t="s">
        <v>186</v>
      </c>
      <c r="K4" s="15" t="s">
        <v>17</v>
      </c>
      <c r="L4" s="68" t="s">
        <v>185</v>
      </c>
      <c r="M4" s="15"/>
      <c r="N4" s="15" t="s">
        <v>19</v>
      </c>
      <c r="O4" s="15" t="s">
        <v>19</v>
      </c>
      <c r="P4" s="15" t="s">
        <v>19</v>
      </c>
      <c r="Q4" s="15" t="s">
        <v>193</v>
      </c>
      <c r="R4" s="15"/>
      <c r="S4" s="15"/>
      <c r="T4" s="15"/>
      <c r="U4" s="6" t="s">
        <v>154</v>
      </c>
      <c r="V4" s="47" t="s">
        <v>192</v>
      </c>
      <c r="W4" s="74"/>
      <c r="X4" s="78" t="s">
        <v>229</v>
      </c>
      <c r="Y4" s="76" t="s">
        <v>195</v>
      </c>
      <c r="Z4" s="16"/>
    </row>
    <row r="5" spans="1:26" s="21" customFormat="1" ht="93" customHeight="1" thickTop="1" thickBot="1" x14ac:dyDescent="0.25">
      <c r="A5" s="13" t="s">
        <v>114</v>
      </c>
      <c r="B5" s="42" t="s">
        <v>111</v>
      </c>
      <c r="C5" s="12" t="s">
        <v>226</v>
      </c>
      <c r="D5" s="43" t="s">
        <v>152</v>
      </c>
      <c r="E5" s="12" t="s">
        <v>19</v>
      </c>
      <c r="F5" s="16" t="s">
        <v>139</v>
      </c>
      <c r="G5" s="16" t="s">
        <v>19</v>
      </c>
      <c r="H5" s="16" t="s">
        <v>150</v>
      </c>
      <c r="I5" s="17" t="s">
        <v>115</v>
      </c>
      <c r="J5" s="15" t="s">
        <v>156</v>
      </c>
      <c r="K5" s="15" t="s">
        <v>17</v>
      </c>
      <c r="L5" s="15" t="s">
        <v>153</v>
      </c>
      <c r="M5" s="15" t="s">
        <v>53</v>
      </c>
      <c r="N5" s="15" t="s">
        <v>19</v>
      </c>
      <c r="O5" s="15" t="s">
        <v>19</v>
      </c>
      <c r="P5" s="56" t="s">
        <v>19</v>
      </c>
      <c r="Q5" s="64" t="s">
        <v>227</v>
      </c>
      <c r="R5" s="15"/>
      <c r="S5" s="22" t="s">
        <v>157</v>
      </c>
      <c r="T5" s="15"/>
      <c r="U5" s="15"/>
      <c r="V5" s="15" t="s">
        <v>174</v>
      </c>
      <c r="W5" s="15"/>
      <c r="X5" s="70"/>
      <c r="Y5" s="15" t="s">
        <v>228</v>
      </c>
      <c r="Z5" s="102">
        <v>1000000</v>
      </c>
    </row>
    <row r="6" spans="1:26" s="21" customFormat="1" ht="98.5" customHeight="1" thickTop="1" thickBot="1" x14ac:dyDescent="0.25">
      <c r="A6" s="14" t="s">
        <v>121</v>
      </c>
      <c r="B6" s="42" t="s">
        <v>111</v>
      </c>
      <c r="C6" s="12" t="s">
        <v>80</v>
      </c>
      <c r="D6" s="43"/>
      <c r="E6" s="12"/>
      <c r="F6" s="49" t="s">
        <v>160</v>
      </c>
      <c r="G6" s="49"/>
      <c r="H6" s="19" t="s">
        <v>173</v>
      </c>
      <c r="I6" s="18" t="s">
        <v>116</v>
      </c>
      <c r="J6" s="15" t="s">
        <v>20</v>
      </c>
      <c r="K6" s="15" t="s">
        <v>17</v>
      </c>
      <c r="L6" s="15" t="s">
        <v>123</v>
      </c>
      <c r="M6" s="49" t="s">
        <v>148</v>
      </c>
      <c r="N6" s="15" t="s">
        <v>149</v>
      </c>
      <c r="O6" s="42"/>
      <c r="P6" s="72"/>
      <c r="Q6" s="73" t="s">
        <v>159</v>
      </c>
      <c r="R6" s="43"/>
      <c r="S6" s="15"/>
      <c r="T6" s="15"/>
      <c r="U6" s="6" t="s">
        <v>158</v>
      </c>
      <c r="V6" s="15"/>
      <c r="W6" s="15"/>
      <c r="X6" s="15"/>
      <c r="Y6" s="15"/>
      <c r="Z6" s="16"/>
    </row>
    <row r="7" spans="1:26" s="21" customFormat="1" ht="253.25" customHeight="1" thickTop="1" x14ac:dyDescent="0.2">
      <c r="A7" s="14" t="s">
        <v>137</v>
      </c>
      <c r="B7" s="66" t="s">
        <v>196</v>
      </c>
      <c r="C7" s="49" t="s">
        <v>199</v>
      </c>
      <c r="D7" s="44"/>
      <c r="E7" s="12" t="s">
        <v>200</v>
      </c>
      <c r="F7" s="15" t="s">
        <v>197</v>
      </c>
      <c r="G7" s="100" t="s">
        <v>216</v>
      </c>
      <c r="H7" s="15" t="s">
        <v>198</v>
      </c>
      <c r="I7" s="22" t="s">
        <v>147</v>
      </c>
      <c r="J7" s="15" t="s">
        <v>201</v>
      </c>
      <c r="K7" s="15" t="s">
        <v>203</v>
      </c>
      <c r="L7" s="15" t="s">
        <v>202</v>
      </c>
      <c r="M7" s="49" t="s">
        <v>146</v>
      </c>
      <c r="N7" s="15" t="s">
        <v>204</v>
      </c>
      <c r="O7" s="15" t="s">
        <v>280</v>
      </c>
      <c r="P7" s="70" t="s">
        <v>281</v>
      </c>
      <c r="Q7" s="71" t="s">
        <v>224</v>
      </c>
      <c r="R7" s="15"/>
      <c r="S7" s="15"/>
      <c r="T7" s="15"/>
      <c r="U7" s="15"/>
      <c r="V7" s="49" t="s">
        <v>205</v>
      </c>
      <c r="W7" s="49" t="s">
        <v>218</v>
      </c>
      <c r="X7" s="49" t="s">
        <v>223</v>
      </c>
      <c r="Y7" s="15" t="s">
        <v>206</v>
      </c>
      <c r="Z7" s="16"/>
    </row>
    <row r="8" spans="1:26" s="21" customFormat="1" ht="216.5" customHeight="1" thickBot="1" x14ac:dyDescent="0.25">
      <c r="A8" s="48" t="s">
        <v>171</v>
      </c>
      <c r="B8" s="67" t="s">
        <v>138</v>
      </c>
      <c r="C8" s="53" t="s">
        <v>71</v>
      </c>
      <c r="D8" s="44" t="s">
        <v>162</v>
      </c>
      <c r="E8" s="12" t="s">
        <v>51</v>
      </c>
      <c r="F8" s="15" t="s">
        <v>163</v>
      </c>
      <c r="G8" s="15"/>
      <c r="H8" s="18" t="s">
        <v>168</v>
      </c>
      <c r="I8" s="49" t="s">
        <v>117</v>
      </c>
      <c r="J8" s="15" t="s">
        <v>164</v>
      </c>
      <c r="K8" s="15" t="s">
        <v>17</v>
      </c>
      <c r="L8" s="15" t="s">
        <v>118</v>
      </c>
      <c r="M8" s="49" t="s">
        <v>225</v>
      </c>
      <c r="N8" s="15" t="s">
        <v>161</v>
      </c>
      <c r="O8" s="15">
        <v>50</v>
      </c>
      <c r="P8" s="15"/>
      <c r="Q8" s="15"/>
      <c r="R8" s="22"/>
      <c r="S8" s="15"/>
      <c r="U8" s="64" t="s">
        <v>166</v>
      </c>
      <c r="V8" s="49" t="s">
        <v>165</v>
      </c>
      <c r="W8" s="49"/>
      <c r="X8" s="49"/>
      <c r="Y8" s="49"/>
      <c r="Z8" s="16"/>
    </row>
    <row r="9" spans="1:26" s="26" customFormat="1" ht="200.5" customHeight="1" thickTop="1" thickBot="1" x14ac:dyDescent="0.25">
      <c r="A9" s="51" t="s">
        <v>120</v>
      </c>
      <c r="B9" s="52" t="s">
        <v>122</v>
      </c>
      <c r="C9" s="83" t="s">
        <v>140</v>
      </c>
      <c r="D9" s="54" t="s">
        <v>141</v>
      </c>
      <c r="E9" s="55" t="s">
        <v>155</v>
      </c>
      <c r="F9" s="56" t="s">
        <v>142</v>
      </c>
      <c r="G9" s="56" t="s">
        <v>215</v>
      </c>
      <c r="H9" s="57" t="s">
        <v>143</v>
      </c>
      <c r="I9" s="64" t="s">
        <v>119</v>
      </c>
      <c r="J9" s="56" t="s">
        <v>20</v>
      </c>
      <c r="K9" s="56" t="s">
        <v>17</v>
      </c>
      <c r="L9" s="15" t="s">
        <v>172</v>
      </c>
      <c r="M9" s="64" t="s">
        <v>144</v>
      </c>
      <c r="N9" s="56" t="s">
        <v>145</v>
      </c>
      <c r="O9" s="56">
        <v>2100</v>
      </c>
      <c r="P9" s="56" t="s">
        <v>220</v>
      </c>
      <c r="Q9" s="56" t="s">
        <v>208</v>
      </c>
      <c r="R9" s="56" t="s">
        <v>209</v>
      </c>
      <c r="S9" s="56" t="s">
        <v>211</v>
      </c>
      <c r="T9" s="56" t="s">
        <v>213</v>
      </c>
      <c r="U9" s="65" t="s">
        <v>212</v>
      </c>
      <c r="V9" s="49"/>
      <c r="W9" s="49"/>
      <c r="X9" s="64" t="s">
        <v>222</v>
      </c>
      <c r="Y9" s="56" t="s">
        <v>207</v>
      </c>
      <c r="Z9" s="58" t="s">
        <v>167</v>
      </c>
    </row>
    <row r="10" spans="1:26" s="26" customFormat="1" ht="186.5" customHeight="1" thickTop="1" thickBot="1" x14ac:dyDescent="0.25">
      <c r="A10" s="91" t="s">
        <v>178</v>
      </c>
      <c r="B10" s="92" t="s">
        <v>122</v>
      </c>
      <c r="C10" s="93" t="s">
        <v>238</v>
      </c>
      <c r="D10" s="92"/>
      <c r="E10" s="82" t="s">
        <v>246</v>
      </c>
      <c r="F10" s="56" t="s">
        <v>241</v>
      </c>
      <c r="G10" s="56"/>
      <c r="H10" s="49" t="s">
        <v>175</v>
      </c>
      <c r="I10" s="59" t="s">
        <v>176</v>
      </c>
      <c r="J10" s="49" t="s">
        <v>52</v>
      </c>
      <c r="K10" s="49" t="s">
        <v>17</v>
      </c>
      <c r="L10" s="86" t="s">
        <v>243</v>
      </c>
      <c r="M10" s="49" t="s">
        <v>177</v>
      </c>
      <c r="N10" s="49" t="s">
        <v>244</v>
      </c>
      <c r="O10" s="87" t="s">
        <v>245</v>
      </c>
      <c r="P10" s="56" t="s">
        <v>247</v>
      </c>
      <c r="Q10" s="56" t="s">
        <v>249</v>
      </c>
      <c r="R10" s="56"/>
      <c r="S10" s="56"/>
      <c r="T10" s="56"/>
      <c r="U10" s="65" t="s">
        <v>248</v>
      </c>
      <c r="V10" s="49"/>
      <c r="W10" s="85" t="s">
        <v>242</v>
      </c>
      <c r="X10" s="64" t="s">
        <v>250</v>
      </c>
      <c r="Y10" s="56"/>
      <c r="Z10" s="58"/>
    </row>
    <row r="11" spans="1:26" s="26" customFormat="1" ht="134.5" customHeight="1" thickTop="1" thickBot="1" x14ac:dyDescent="0.25">
      <c r="A11" s="95" t="s">
        <v>263</v>
      </c>
      <c r="B11" s="72" t="s">
        <v>253</v>
      </c>
      <c r="C11" s="73" t="s">
        <v>80</v>
      </c>
      <c r="D11" s="72"/>
      <c r="E11" s="96" t="s">
        <v>127</v>
      </c>
      <c r="F11" s="97" t="s">
        <v>255</v>
      </c>
      <c r="G11" s="54" t="s">
        <v>264</v>
      </c>
      <c r="H11" s="57" t="s">
        <v>254</v>
      </c>
      <c r="I11" s="59" t="s">
        <v>176</v>
      </c>
      <c r="J11" s="56" t="s">
        <v>25</v>
      </c>
      <c r="K11" s="56" t="s">
        <v>17</v>
      </c>
      <c r="L11" s="56" t="s">
        <v>257</v>
      </c>
      <c r="M11" s="64" t="s">
        <v>258</v>
      </c>
      <c r="N11" s="56" t="s">
        <v>259</v>
      </c>
      <c r="O11" s="56" t="s">
        <v>260</v>
      </c>
      <c r="P11" s="56" t="s">
        <v>262</v>
      </c>
      <c r="Q11" s="56"/>
      <c r="R11" s="56"/>
      <c r="S11" s="56"/>
      <c r="T11" s="56"/>
      <c r="U11" s="65" t="s">
        <v>256</v>
      </c>
      <c r="V11" s="49"/>
      <c r="W11" s="49"/>
      <c r="X11" s="64"/>
      <c r="Y11" s="89" t="s">
        <v>261</v>
      </c>
      <c r="Z11" s="90">
        <v>600000</v>
      </c>
    </row>
    <row r="12" spans="1:26" s="26" customFormat="1" ht="240" customHeight="1" thickTop="1" x14ac:dyDescent="0.2">
      <c r="A12" s="94" t="s">
        <v>275</v>
      </c>
      <c r="B12" s="84" t="s">
        <v>266</v>
      </c>
      <c r="C12" s="103" t="s">
        <v>268</v>
      </c>
      <c r="D12" s="104" t="s">
        <v>276</v>
      </c>
      <c r="E12" s="99" t="s">
        <v>272</v>
      </c>
      <c r="F12" s="89" t="s">
        <v>197</v>
      </c>
      <c r="G12" s="56" t="s">
        <v>269</v>
      </c>
      <c r="H12" s="57" t="s">
        <v>267</v>
      </c>
      <c r="I12" s="59"/>
      <c r="J12" s="56" t="s">
        <v>22</v>
      </c>
      <c r="K12" s="56" t="s">
        <v>17</v>
      </c>
      <c r="L12" s="56"/>
      <c r="M12" s="64" t="s">
        <v>270</v>
      </c>
      <c r="N12" s="56" t="s">
        <v>271</v>
      </c>
      <c r="O12" s="56" t="s">
        <v>277</v>
      </c>
      <c r="P12" s="56" t="s">
        <v>273</v>
      </c>
      <c r="Q12" s="56"/>
      <c r="R12" s="56"/>
      <c r="S12" s="56"/>
      <c r="T12" s="56"/>
      <c r="U12" s="105" t="s">
        <v>274</v>
      </c>
      <c r="V12" s="64"/>
      <c r="W12" s="64"/>
      <c r="X12" s="91"/>
      <c r="Y12" s="106" t="s">
        <v>265</v>
      </c>
      <c r="Z12" s="107"/>
    </row>
    <row r="13" spans="1:26" s="26" customFormat="1" ht="240" customHeight="1" x14ac:dyDescent="0.2">
      <c r="A13" s="108" t="s">
        <v>282</v>
      </c>
      <c r="B13" s="15" t="s">
        <v>283</v>
      </c>
      <c r="C13" s="49"/>
      <c r="D13" s="109" t="s">
        <v>286</v>
      </c>
      <c r="E13" s="12" t="s">
        <v>290</v>
      </c>
      <c r="F13" s="110" t="s">
        <v>285</v>
      </c>
      <c r="G13" s="15" t="s">
        <v>287</v>
      </c>
      <c r="H13" s="111" t="s">
        <v>284</v>
      </c>
      <c r="I13" s="59"/>
      <c r="J13" s="15" t="s">
        <v>52</v>
      </c>
      <c r="K13" s="15" t="s">
        <v>17</v>
      </c>
      <c r="L13" s="15" t="s">
        <v>288</v>
      </c>
      <c r="M13" s="49" t="s">
        <v>289</v>
      </c>
      <c r="N13" s="15" t="s">
        <v>235</v>
      </c>
      <c r="O13" s="15" t="s">
        <v>291</v>
      </c>
      <c r="P13" s="15" t="s">
        <v>292</v>
      </c>
      <c r="Q13" s="15"/>
      <c r="R13" s="15" t="s">
        <v>294</v>
      </c>
      <c r="S13" s="15"/>
      <c r="T13" s="15"/>
      <c r="U13" s="65"/>
      <c r="V13" s="49"/>
      <c r="W13" s="49" t="s">
        <v>296</v>
      </c>
      <c r="X13" s="49" t="s">
        <v>293</v>
      </c>
      <c r="Y13" s="110" t="s">
        <v>295</v>
      </c>
      <c r="Z13" s="112"/>
    </row>
    <row r="14" spans="1:26" s="26" customFormat="1" ht="264" customHeight="1" x14ac:dyDescent="0.2">
      <c r="A14" s="108" t="s">
        <v>305</v>
      </c>
      <c r="B14" s="15" t="s">
        <v>300</v>
      </c>
      <c r="C14" s="49" t="s">
        <v>302</v>
      </c>
      <c r="D14" s="113" t="s">
        <v>301</v>
      </c>
      <c r="E14" s="12" t="s">
        <v>190</v>
      </c>
      <c r="F14" s="110" t="s">
        <v>297</v>
      </c>
      <c r="G14" s="15"/>
      <c r="H14" s="111" t="s">
        <v>299</v>
      </c>
      <c r="I14" s="59" t="s">
        <v>298</v>
      </c>
      <c r="J14" s="15" t="s">
        <v>303</v>
      </c>
      <c r="K14" s="15" t="s">
        <v>306</v>
      </c>
      <c r="L14" s="114" t="s">
        <v>304</v>
      </c>
      <c r="M14" s="49" t="s">
        <v>307</v>
      </c>
      <c r="N14" s="15" t="s">
        <v>308</v>
      </c>
      <c r="O14" s="15"/>
      <c r="P14" s="15" t="s">
        <v>310</v>
      </c>
      <c r="Q14" s="15"/>
      <c r="R14" s="15"/>
      <c r="S14" s="15"/>
      <c r="T14" s="15"/>
      <c r="U14" s="15" t="s">
        <v>309</v>
      </c>
      <c r="V14" s="49"/>
      <c r="W14" s="49"/>
      <c r="X14" s="65" t="s">
        <v>312</v>
      </c>
      <c r="Y14" s="110" t="s">
        <v>311</v>
      </c>
      <c r="Z14" s="112"/>
    </row>
    <row r="15" spans="1:26" ht="15" x14ac:dyDescent="0.2">
      <c r="C15" s="9"/>
      <c r="D15" s="98"/>
    </row>
    <row r="16" spans="1:26" ht="15" x14ac:dyDescent="0.2">
      <c r="C16" s="9"/>
      <c r="D16" s="98"/>
    </row>
    <row r="17" spans="3:4" ht="15" x14ac:dyDescent="0.2">
      <c r="C17" s="9"/>
      <c r="D17" s="98"/>
    </row>
    <row r="18" spans="3:4" x14ac:dyDescent="0.2">
      <c r="C18" s="1"/>
    </row>
    <row r="19" spans="3:4" x14ac:dyDescent="0.2">
      <c r="C19" s="1"/>
    </row>
    <row r="20" spans="3:4" x14ac:dyDescent="0.2">
      <c r="C20" s="1"/>
    </row>
    <row r="21" spans="3:4" x14ac:dyDescent="0.2">
      <c r="C21" s="1"/>
    </row>
    <row r="22" spans="3:4" x14ac:dyDescent="0.2">
      <c r="C22" s="1"/>
    </row>
    <row r="23" spans="3:4" x14ac:dyDescent="0.2">
      <c r="C23" s="1"/>
    </row>
    <row r="24" spans="3:4" x14ac:dyDescent="0.2">
      <c r="C24" s="1"/>
    </row>
    <row r="25" spans="3:4" x14ac:dyDescent="0.2">
      <c r="C25" s="1"/>
    </row>
    <row r="26" spans="3:4" x14ac:dyDescent="0.2">
      <c r="C26" s="1"/>
    </row>
    <row r="27" spans="3:4" x14ac:dyDescent="0.2">
      <c r="C27" s="1"/>
    </row>
    <row r="28" spans="3:4" x14ac:dyDescent="0.2">
      <c r="C28" s="1"/>
    </row>
    <row r="29" spans="3:4" x14ac:dyDescent="0.2">
      <c r="C29" s="1"/>
    </row>
    <row r="30" spans="3:4" x14ac:dyDescent="0.2">
      <c r="C30" s="1"/>
    </row>
    <row r="31" spans="3:4" x14ac:dyDescent="0.2">
      <c r="C31" s="1"/>
    </row>
    <row r="32" spans="3:4" ht="15" x14ac:dyDescent="0.2">
      <c r="C32" s="11"/>
    </row>
    <row r="33" spans="3:3" x14ac:dyDescent="0.2">
      <c r="C33" s="1"/>
    </row>
    <row r="34" spans="3:3" x14ac:dyDescent="0.2">
      <c r="C34" s="1"/>
    </row>
    <row r="35" spans="3:3" x14ac:dyDescent="0.2">
      <c r="C35" s="1"/>
    </row>
    <row r="36" spans="3:3" x14ac:dyDescent="0.2">
      <c r="C36" s="1"/>
    </row>
    <row r="37" spans="3:3" x14ac:dyDescent="0.2">
      <c r="C37" s="1"/>
    </row>
    <row r="38" spans="3:3" x14ac:dyDescent="0.2">
      <c r="C38" s="1"/>
    </row>
  </sheetData>
  <sheetProtection password="A320" sheet="1" objects="1" scenarios="1"/>
  <protectedRanges>
    <protectedRange sqref="A3:XFD14" name="Range3"/>
  </protectedRanges>
  <dataConsolidate/>
  <mergeCells count="1">
    <mergeCell ref="A1:Z1"/>
  </mergeCells>
  <dataValidations count="1">
    <dataValidation type="list" allowBlank="1" showInputMessage="1" showErrorMessage="1" sqref="I8:I9">
      <formula1>$R$2:$R$11</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6">
        <x14:dataValidation type="list" errorStyle="information" allowBlank="1" showInputMessage="1" showErrorMessage="1" promptTitle="Sponsor/Funder" prompt="Drop list">
          <x14:formula1>
            <xm:f>'Multiple Choice Options'!$B$2:$B$11</xm:f>
          </x14:formula1>
          <xm:sqref>B3:B14</xm:sqref>
        </x14:dataValidation>
        <x14:dataValidation type="list" allowBlank="1" showInputMessage="1" showErrorMessage="1">
          <x14:formula1>
            <xm:f>'Multiple Choice Options'!$X$2:$X$12</xm:f>
          </x14:formula1>
          <xm:sqref>M3:M6</xm:sqref>
        </x14:dataValidation>
        <x14:dataValidation type="list" errorStyle="information" allowBlank="1" showInputMessage="1" showErrorMessage="1" promptTitle="Drop List" prompt="Location Intervention Delivery Point">
          <x14:formula1>
            <xm:f>'Multiple Choice Options'!$E$2:$E$20</xm:f>
          </x14:formula1>
          <xm:sqref>E3:E14</xm:sqref>
        </x14:dataValidation>
        <x14:dataValidation type="list" errorStyle="information" allowBlank="1" showInputMessage="1" showErrorMessage="1" promptTitle="Drop list" prompt="County">
          <x14:formula1>
            <xm:f>'Multiple Choice Options'!$C$2:$C$52</xm:f>
          </x14:formula1>
          <xm:sqref>C3:C9 C11:C14</xm:sqref>
        </x14:dataValidation>
        <x14:dataValidation type="list" errorStyle="information" allowBlank="1" showInputMessage="1" showErrorMessage="1" promptTitle="Drop List" prompt="Program Type">
          <x14:formula1>
            <xm:f>'Multiple Choice Options'!$J$2:$J$19</xm:f>
          </x14:formula1>
          <xm:sqref>J3:J9 J11:J14</xm:sqref>
        </x14:dataValidation>
        <x14:dataValidation type="list" allowBlank="1" showInputMessage="1" showErrorMessage="1" promptTitle="Drop Down" prompt="Status">
          <x14:formula1>
            <xm:f>'Multiple Choice Options'!$K$2:$K$6</xm:f>
          </x14:formula1>
          <xm:sqref>K3:K9 K11:K14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AB50"/>
  <sheetViews>
    <sheetView workbookViewId="0">
      <selection activeCell="B11" sqref="B11"/>
    </sheetView>
  </sheetViews>
  <sheetFormatPr baseColWidth="10" defaultColWidth="8.83203125" defaultRowHeight="14" x14ac:dyDescent="0.2"/>
  <cols>
    <col min="1" max="1" width="31.5" style="1" customWidth="1"/>
    <col min="2" max="2" width="24.33203125" style="1" bestFit="1" customWidth="1"/>
    <col min="3" max="3" width="21.1640625" style="1" customWidth="1"/>
    <col min="4" max="4" width="16.1640625" style="1" customWidth="1"/>
    <col min="5" max="6" width="24.6640625" style="1" customWidth="1"/>
    <col min="7" max="7" width="20.5" style="1" customWidth="1"/>
    <col min="8" max="8" width="16.1640625" style="1" customWidth="1"/>
    <col min="9" max="9" width="17.6640625" style="1" customWidth="1"/>
    <col min="10" max="10" width="31.5" style="1" customWidth="1"/>
    <col min="11" max="11" width="13.33203125" style="1" customWidth="1"/>
    <col min="12" max="12" width="18.5" style="1" customWidth="1"/>
    <col min="13" max="13" width="21" style="1" customWidth="1"/>
    <col min="14" max="15" width="19.6640625" style="1" customWidth="1"/>
    <col min="16" max="16" width="24.6640625" style="1" customWidth="1"/>
    <col min="17" max="17" width="32.6640625" style="1" customWidth="1"/>
    <col min="18" max="22" width="16.1640625" style="1" customWidth="1"/>
    <col min="23" max="23" width="28.6640625" style="1" customWidth="1"/>
    <col min="24" max="27" width="16.1640625" style="1" customWidth="1"/>
    <col min="28" max="28" width="10.5" style="1" customWidth="1"/>
    <col min="29" max="16384" width="8.83203125" style="1"/>
  </cols>
  <sheetData>
    <row r="1" spans="1:28" ht="70" x14ac:dyDescent="0.2">
      <c r="A1" s="23" t="s">
        <v>0</v>
      </c>
      <c r="B1" s="23" t="s">
        <v>1</v>
      </c>
      <c r="C1" s="23" t="s">
        <v>60</v>
      </c>
      <c r="D1" s="24" t="s">
        <v>2</v>
      </c>
      <c r="E1" s="23" t="s">
        <v>126</v>
      </c>
      <c r="F1" s="23" t="s">
        <v>210</v>
      </c>
      <c r="G1" s="23" t="s">
        <v>3</v>
      </c>
      <c r="H1" s="23" t="s">
        <v>4</v>
      </c>
      <c r="I1" s="25" t="s">
        <v>5</v>
      </c>
      <c r="J1" s="23" t="s">
        <v>6</v>
      </c>
      <c r="K1" s="23" t="s">
        <v>7</v>
      </c>
      <c r="L1" s="23" t="s">
        <v>8</v>
      </c>
      <c r="M1" s="23" t="s">
        <v>9</v>
      </c>
      <c r="N1" s="23" t="s">
        <v>62</v>
      </c>
      <c r="O1" s="23" t="s">
        <v>10</v>
      </c>
      <c r="P1" s="23" t="s">
        <v>11</v>
      </c>
      <c r="Q1" s="23" t="s">
        <v>12</v>
      </c>
      <c r="R1" s="23" t="s">
        <v>13</v>
      </c>
      <c r="S1" s="23" t="s">
        <v>63</v>
      </c>
      <c r="T1" s="23" t="s">
        <v>14</v>
      </c>
      <c r="U1" s="23" t="s">
        <v>15</v>
      </c>
      <c r="V1" s="23" t="s">
        <v>16</v>
      </c>
      <c r="W1" s="23" t="s">
        <v>61</v>
      </c>
    </row>
    <row r="2" spans="1:28" ht="12" customHeight="1" x14ac:dyDescent="0.2">
      <c r="A2" s="33" t="s">
        <v>125</v>
      </c>
      <c r="B2" s="30" t="s">
        <v>111</v>
      </c>
      <c r="C2" s="1" t="s">
        <v>64</v>
      </c>
      <c r="D2" s="117" t="s">
        <v>129</v>
      </c>
      <c r="E2" s="32" t="s">
        <v>31</v>
      </c>
      <c r="F2" s="61"/>
      <c r="G2" s="118" t="s">
        <v>128</v>
      </c>
      <c r="H2" s="117" t="s">
        <v>130</v>
      </c>
      <c r="I2" s="116" t="s">
        <v>131</v>
      </c>
      <c r="J2" s="1" t="s">
        <v>124</v>
      </c>
      <c r="K2" s="1" t="s">
        <v>30</v>
      </c>
      <c r="L2" s="117" t="s">
        <v>132</v>
      </c>
      <c r="M2" s="1" t="s">
        <v>26</v>
      </c>
      <c r="N2" s="116" t="s">
        <v>133</v>
      </c>
      <c r="O2" s="38" t="s">
        <v>134</v>
      </c>
      <c r="V2" s="1" t="s">
        <v>30</v>
      </c>
      <c r="X2" s="1" t="s">
        <v>26</v>
      </c>
      <c r="AB2" s="2"/>
    </row>
    <row r="3" spans="1:28" ht="12" customHeight="1" x14ac:dyDescent="0.2">
      <c r="B3" s="32" t="s">
        <v>122</v>
      </c>
      <c r="C3" s="1" t="s">
        <v>65</v>
      </c>
      <c r="D3" s="117"/>
      <c r="E3" s="32" t="s">
        <v>32</v>
      </c>
      <c r="F3" s="61"/>
      <c r="G3" s="118"/>
      <c r="H3" s="117"/>
      <c r="I3" s="116"/>
      <c r="J3" s="1" t="s">
        <v>21</v>
      </c>
      <c r="K3" s="1" t="s">
        <v>17</v>
      </c>
      <c r="L3" s="117"/>
      <c r="M3" s="1" t="s">
        <v>23</v>
      </c>
      <c r="N3" s="116"/>
      <c r="O3" s="38"/>
      <c r="V3" s="1" t="s">
        <v>24</v>
      </c>
      <c r="X3" s="1" t="s">
        <v>23</v>
      </c>
      <c r="AB3" s="2"/>
    </row>
    <row r="4" spans="1:28" ht="12" customHeight="1" x14ac:dyDescent="0.2">
      <c r="B4" s="31" t="s">
        <v>113</v>
      </c>
      <c r="C4" s="1" t="s">
        <v>66</v>
      </c>
      <c r="D4" s="117"/>
      <c r="E4" s="32" t="s">
        <v>33</v>
      </c>
      <c r="F4" s="61"/>
      <c r="G4" s="118"/>
      <c r="H4" s="117"/>
      <c r="I4" s="116"/>
      <c r="J4" s="1" t="s">
        <v>20</v>
      </c>
      <c r="K4" s="1" t="s">
        <v>29</v>
      </c>
      <c r="M4" s="1" t="s">
        <v>34</v>
      </c>
      <c r="N4" s="116"/>
      <c r="O4" s="38"/>
      <c r="V4" s="1" t="s">
        <v>17</v>
      </c>
      <c r="X4" s="1" t="s">
        <v>34</v>
      </c>
      <c r="AB4" s="2"/>
    </row>
    <row r="5" spans="1:28" ht="12" customHeight="1" x14ac:dyDescent="0.2">
      <c r="B5" s="31" t="s">
        <v>135</v>
      </c>
      <c r="C5" s="1" t="s">
        <v>67</v>
      </c>
      <c r="D5" s="117"/>
      <c r="E5" s="32" t="s">
        <v>35</v>
      </c>
      <c r="F5" s="61"/>
      <c r="G5" s="118"/>
      <c r="H5" s="117"/>
      <c r="I5" s="116"/>
      <c r="J5" s="1" t="s">
        <v>36</v>
      </c>
      <c r="M5" s="1" t="s">
        <v>18</v>
      </c>
      <c r="N5" s="116"/>
      <c r="O5" s="38"/>
      <c r="V5" s="1" t="s">
        <v>29</v>
      </c>
      <c r="X5" s="1" t="s">
        <v>18</v>
      </c>
      <c r="AB5" s="2"/>
    </row>
    <row r="6" spans="1:28" ht="12" customHeight="1" x14ac:dyDescent="0.2">
      <c r="B6" s="28" t="s">
        <v>136</v>
      </c>
      <c r="C6" s="1" t="s">
        <v>68</v>
      </c>
      <c r="D6" s="117"/>
      <c r="E6" s="32" t="s">
        <v>37</v>
      </c>
      <c r="F6" s="61"/>
      <c r="G6" s="118"/>
      <c r="H6" s="117"/>
      <c r="I6" s="116"/>
      <c r="J6" s="1" t="s">
        <v>38</v>
      </c>
      <c r="M6" s="1" t="s">
        <v>39</v>
      </c>
      <c r="X6" s="1" t="s">
        <v>39</v>
      </c>
      <c r="AB6" s="2"/>
    </row>
    <row r="7" spans="1:28" ht="12" customHeight="1" x14ac:dyDescent="0.2">
      <c r="B7" s="1" t="s">
        <v>251</v>
      </c>
      <c r="C7" s="4" t="s">
        <v>69</v>
      </c>
      <c r="D7" s="117"/>
      <c r="E7" s="32" t="s">
        <v>40</v>
      </c>
      <c r="F7" s="62"/>
      <c r="H7" s="4"/>
      <c r="I7" s="116"/>
      <c r="J7" s="1" t="s">
        <v>22</v>
      </c>
      <c r="M7" s="1" t="s">
        <v>27</v>
      </c>
      <c r="X7" s="1" t="s">
        <v>27</v>
      </c>
      <c r="AB7" s="2"/>
    </row>
    <row r="8" spans="1:28" ht="12" customHeight="1" x14ac:dyDescent="0.2">
      <c r="B8" s="32" t="s">
        <v>252</v>
      </c>
      <c r="C8" s="1" t="s">
        <v>70</v>
      </c>
      <c r="D8" s="117"/>
      <c r="E8" s="32" t="s">
        <v>41</v>
      </c>
      <c r="F8" s="62"/>
      <c r="I8" s="116"/>
      <c r="J8" s="1" t="s">
        <v>42</v>
      </c>
      <c r="M8" s="1" t="s">
        <v>43</v>
      </c>
      <c r="X8" s="1" t="s">
        <v>43</v>
      </c>
      <c r="AB8" s="2"/>
    </row>
    <row r="9" spans="1:28" ht="12" customHeight="1" x14ac:dyDescent="0.2">
      <c r="B9" s="28" t="s">
        <v>266</v>
      </c>
      <c r="C9" s="1" t="s">
        <v>71</v>
      </c>
      <c r="E9" s="32" t="s">
        <v>44</v>
      </c>
      <c r="F9" s="62"/>
      <c r="I9" s="116"/>
      <c r="J9" s="1" t="s">
        <v>45</v>
      </c>
      <c r="M9" s="1" t="s">
        <v>46</v>
      </c>
      <c r="X9" s="1" t="s">
        <v>46</v>
      </c>
      <c r="AB9" s="5"/>
    </row>
    <row r="10" spans="1:28" ht="12" customHeight="1" x14ac:dyDescent="0.2">
      <c r="B10" s="32" t="s">
        <v>300</v>
      </c>
      <c r="C10" s="10" t="s">
        <v>72</v>
      </c>
      <c r="E10" s="32" t="s">
        <v>47</v>
      </c>
      <c r="F10" s="62"/>
      <c r="G10" s="34"/>
      <c r="H10" s="10"/>
      <c r="I10" s="9"/>
      <c r="J10" s="1" t="s">
        <v>25</v>
      </c>
      <c r="M10" s="1" t="s">
        <v>48</v>
      </c>
      <c r="P10" s="7"/>
      <c r="Q10" s="9"/>
      <c r="X10" s="1" t="s">
        <v>48</v>
      </c>
      <c r="AB10" s="5"/>
    </row>
    <row r="11" spans="1:28" ht="12" customHeight="1" x14ac:dyDescent="0.2">
      <c r="B11" s="32"/>
      <c r="C11" s="1" t="s">
        <v>73</v>
      </c>
      <c r="E11" s="32" t="s">
        <v>49</v>
      </c>
      <c r="F11" s="62"/>
      <c r="G11" s="34"/>
      <c r="I11" s="9"/>
      <c r="J11" s="1" t="s">
        <v>28</v>
      </c>
      <c r="M11" s="1" t="s">
        <v>50</v>
      </c>
      <c r="Q11" s="9"/>
      <c r="X11" s="1" t="s">
        <v>50</v>
      </c>
      <c r="AB11" s="5"/>
    </row>
    <row r="12" spans="1:28" ht="12" customHeight="1" x14ac:dyDescent="0.2">
      <c r="B12" s="32"/>
      <c r="C12" s="1" t="s">
        <v>74</v>
      </c>
      <c r="E12" s="32" t="s">
        <v>51</v>
      </c>
      <c r="F12" s="62"/>
      <c r="G12" s="35"/>
      <c r="I12" s="10"/>
      <c r="J12" s="1" t="s">
        <v>52</v>
      </c>
      <c r="M12" s="1" t="s">
        <v>187</v>
      </c>
      <c r="Q12" s="10"/>
      <c r="X12" s="1" t="s">
        <v>53</v>
      </c>
      <c r="AB12" s="3"/>
    </row>
    <row r="13" spans="1:28" ht="12" customHeight="1" x14ac:dyDescent="0.2">
      <c r="B13" s="32"/>
      <c r="C13" s="1" t="s">
        <v>75</v>
      </c>
      <c r="E13" s="32" t="s">
        <v>54</v>
      </c>
      <c r="F13" s="62"/>
      <c r="G13" s="34"/>
      <c r="I13" s="9"/>
      <c r="J13" s="1" t="s">
        <v>55</v>
      </c>
      <c r="M13" s="1" t="s">
        <v>53</v>
      </c>
      <c r="AA13" s="5"/>
    </row>
    <row r="14" spans="1:28" ht="12" customHeight="1" x14ac:dyDescent="0.2">
      <c r="B14" s="32"/>
      <c r="C14" s="1" t="s">
        <v>76</v>
      </c>
      <c r="E14" s="32" t="s">
        <v>127</v>
      </c>
      <c r="F14" s="62"/>
      <c r="G14" s="36"/>
      <c r="I14" s="11"/>
      <c r="J14" s="1" t="s">
        <v>56</v>
      </c>
      <c r="AA14" s="5"/>
    </row>
    <row r="15" spans="1:28" ht="12" customHeight="1" x14ac:dyDescent="0.2">
      <c r="B15" s="32"/>
      <c r="C15" s="1" t="s">
        <v>77</v>
      </c>
      <c r="E15" s="1" t="s">
        <v>239</v>
      </c>
      <c r="F15" s="62"/>
      <c r="G15" s="37"/>
      <c r="I15" s="4"/>
      <c r="J15" s="1" t="s">
        <v>58</v>
      </c>
      <c r="AA15" s="3"/>
    </row>
    <row r="16" spans="1:28" ht="16" x14ac:dyDescent="0.2">
      <c r="B16" s="32"/>
      <c r="C16" s="1" t="s">
        <v>78</v>
      </c>
      <c r="E16" s="1" t="s">
        <v>240</v>
      </c>
      <c r="F16" s="62"/>
      <c r="G16" s="37"/>
      <c r="I16" s="4"/>
      <c r="J16" s="8" t="s">
        <v>59</v>
      </c>
      <c r="K16" s="8"/>
      <c r="L16" s="8"/>
      <c r="Q16" s="8"/>
    </row>
    <row r="17" spans="2:12" x14ac:dyDescent="0.2">
      <c r="B17" s="32"/>
      <c r="C17" s="1" t="s">
        <v>79</v>
      </c>
      <c r="E17" s="32" t="s">
        <v>188</v>
      </c>
      <c r="F17" s="62"/>
      <c r="G17" s="34"/>
      <c r="I17" s="9"/>
      <c r="J17" s="1" t="s">
        <v>57</v>
      </c>
    </row>
    <row r="18" spans="2:12" x14ac:dyDescent="0.2">
      <c r="B18" s="32"/>
      <c r="C18" s="1" t="s">
        <v>80</v>
      </c>
      <c r="E18" s="32" t="s">
        <v>189</v>
      </c>
      <c r="F18" s="62"/>
      <c r="J18" s="27"/>
      <c r="K18" s="27"/>
      <c r="L18" s="27"/>
    </row>
    <row r="19" spans="2:12" x14ac:dyDescent="0.2">
      <c r="B19" s="31"/>
      <c r="C19" s="4" t="s">
        <v>81</v>
      </c>
      <c r="E19" s="30" t="s">
        <v>190</v>
      </c>
      <c r="F19" s="63"/>
      <c r="H19" s="4"/>
    </row>
    <row r="20" spans="2:12" x14ac:dyDescent="0.2">
      <c r="B20" s="29"/>
      <c r="C20" s="1" t="s">
        <v>82</v>
      </c>
      <c r="E20" s="1" t="s">
        <v>19</v>
      </c>
    </row>
    <row r="21" spans="2:12" x14ac:dyDescent="0.2">
      <c r="C21" s="1" t="s">
        <v>83</v>
      </c>
    </row>
    <row r="22" spans="2:12" x14ac:dyDescent="0.2">
      <c r="C22" s="1" t="s">
        <v>84</v>
      </c>
    </row>
    <row r="23" spans="2:12" x14ac:dyDescent="0.2">
      <c r="C23" s="9" t="s">
        <v>85</v>
      </c>
      <c r="H23" s="9"/>
    </row>
    <row r="24" spans="2:12" x14ac:dyDescent="0.2">
      <c r="C24" s="1" t="s">
        <v>86</v>
      </c>
    </row>
    <row r="25" spans="2:12" x14ac:dyDescent="0.2">
      <c r="C25" s="9" t="s">
        <v>87</v>
      </c>
      <c r="H25" s="9"/>
    </row>
    <row r="26" spans="2:12" x14ac:dyDescent="0.2">
      <c r="C26" s="9" t="s">
        <v>88</v>
      </c>
      <c r="H26" s="9"/>
    </row>
    <row r="27" spans="2:12" x14ac:dyDescent="0.2">
      <c r="C27" s="9" t="s">
        <v>89</v>
      </c>
      <c r="H27" s="9"/>
    </row>
    <row r="28" spans="2:12" x14ac:dyDescent="0.2">
      <c r="C28" s="1" t="s">
        <v>90</v>
      </c>
    </row>
    <row r="29" spans="2:12" x14ac:dyDescent="0.2">
      <c r="C29" s="1" t="s">
        <v>91</v>
      </c>
    </row>
    <row r="30" spans="2:12" x14ac:dyDescent="0.2">
      <c r="C30" s="1" t="s">
        <v>92</v>
      </c>
    </row>
    <row r="31" spans="2:12" x14ac:dyDescent="0.2">
      <c r="C31" s="1" t="s">
        <v>93</v>
      </c>
    </row>
    <row r="32" spans="2:12" x14ac:dyDescent="0.2">
      <c r="C32" s="1" t="s">
        <v>94</v>
      </c>
    </row>
    <row r="33" spans="3:8" x14ac:dyDescent="0.2">
      <c r="C33" s="1" t="s">
        <v>95</v>
      </c>
    </row>
    <row r="34" spans="3:8" x14ac:dyDescent="0.2">
      <c r="C34" s="1" t="s">
        <v>96</v>
      </c>
    </row>
    <row r="35" spans="3:8" x14ac:dyDescent="0.2">
      <c r="C35" s="1" t="s">
        <v>97</v>
      </c>
    </row>
    <row r="36" spans="3:8" x14ac:dyDescent="0.2">
      <c r="C36" s="1" t="s">
        <v>98</v>
      </c>
    </row>
    <row r="37" spans="3:8" x14ac:dyDescent="0.2">
      <c r="C37" s="1" t="s">
        <v>99</v>
      </c>
    </row>
    <row r="38" spans="3:8" x14ac:dyDescent="0.2">
      <c r="C38" s="1" t="s">
        <v>100</v>
      </c>
    </row>
    <row r="39" spans="3:8" x14ac:dyDescent="0.2">
      <c r="C39" s="1" t="s">
        <v>101</v>
      </c>
    </row>
    <row r="40" spans="3:8" x14ac:dyDescent="0.2">
      <c r="C40" s="1" t="s">
        <v>102</v>
      </c>
    </row>
    <row r="41" spans="3:8" x14ac:dyDescent="0.2">
      <c r="C41" s="1" t="s">
        <v>103</v>
      </c>
    </row>
    <row r="42" spans="3:8" ht="15" x14ac:dyDescent="0.2">
      <c r="C42" s="11" t="s">
        <v>104</v>
      </c>
      <c r="H42" s="11"/>
    </row>
    <row r="43" spans="3:8" x14ac:dyDescent="0.2">
      <c r="C43" s="1" t="s">
        <v>105</v>
      </c>
    </row>
    <row r="44" spans="3:8" x14ac:dyDescent="0.2">
      <c r="C44" s="1" t="s">
        <v>106</v>
      </c>
    </row>
    <row r="45" spans="3:8" x14ac:dyDescent="0.2">
      <c r="C45" s="1" t="s">
        <v>107</v>
      </c>
    </row>
    <row r="46" spans="3:8" x14ac:dyDescent="0.2">
      <c r="C46" s="1" t="s">
        <v>108</v>
      </c>
    </row>
    <row r="47" spans="3:8" x14ac:dyDescent="0.2">
      <c r="C47" s="1" t="s">
        <v>109</v>
      </c>
    </row>
    <row r="48" spans="3:8" x14ac:dyDescent="0.2">
      <c r="C48" s="1" t="s">
        <v>110</v>
      </c>
    </row>
    <row r="49" spans="3:3" x14ac:dyDescent="0.2">
      <c r="C49" s="1" t="s">
        <v>184</v>
      </c>
    </row>
    <row r="50" spans="3:3" x14ac:dyDescent="0.2">
      <c r="C50" s="1" t="s">
        <v>152</v>
      </c>
    </row>
  </sheetData>
  <sheetProtection selectLockedCells="1" selectUnlockedCells="1"/>
  <sortState ref="R1:R16">
    <sortCondition ref="R16"/>
  </sortState>
  <mergeCells count="6">
    <mergeCell ref="N2:N5"/>
    <mergeCell ref="D2:D8"/>
    <mergeCell ref="G2:G6"/>
    <mergeCell ref="H2:H6"/>
    <mergeCell ref="I2:I9"/>
    <mergeCell ref="L2:L3"/>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A17"/>
  <sheetViews>
    <sheetView workbookViewId="0"/>
  </sheetViews>
  <sheetFormatPr baseColWidth="10" defaultColWidth="8.83203125" defaultRowHeight="15" x14ac:dyDescent="0.2"/>
  <cols>
    <col min="1" max="1" width="36.5" customWidth="1"/>
  </cols>
  <sheetData>
    <row r="1" spans="1:1" x14ac:dyDescent="0.2">
      <c r="A1" s="88"/>
    </row>
    <row r="2" spans="1:1" x14ac:dyDescent="0.2">
      <c r="A2" s="88"/>
    </row>
    <row r="3" spans="1:1" x14ac:dyDescent="0.2">
      <c r="A3" s="88"/>
    </row>
    <row r="4" spans="1:1" x14ac:dyDescent="0.2">
      <c r="A4" s="88"/>
    </row>
    <row r="5" spans="1:1" x14ac:dyDescent="0.2">
      <c r="A5" s="88"/>
    </row>
    <row r="6" spans="1:1" x14ac:dyDescent="0.2">
      <c r="A6" s="88"/>
    </row>
    <row r="7" spans="1:1" x14ac:dyDescent="0.2">
      <c r="A7" s="88"/>
    </row>
    <row r="8" spans="1:1" x14ac:dyDescent="0.2">
      <c r="A8" s="88"/>
    </row>
    <row r="9" spans="1:1" x14ac:dyDescent="0.2">
      <c r="A9" s="88"/>
    </row>
    <row r="10" spans="1:1" x14ac:dyDescent="0.2">
      <c r="A10" s="88"/>
    </row>
    <row r="11" spans="1:1" x14ac:dyDescent="0.2">
      <c r="A11" s="88"/>
    </row>
    <row r="12" spans="1:1" x14ac:dyDescent="0.2">
      <c r="A12" s="88"/>
    </row>
    <row r="13" spans="1:1" x14ac:dyDescent="0.2">
      <c r="A13" s="88"/>
    </row>
    <row r="14" spans="1:1" x14ac:dyDescent="0.2">
      <c r="A14" s="88"/>
    </row>
    <row r="15" spans="1:1" x14ac:dyDescent="0.2">
      <c r="A15" s="88"/>
    </row>
    <row r="16" spans="1:1" x14ac:dyDescent="0.2">
      <c r="A16" s="88"/>
    </row>
    <row r="17" spans="1:1" x14ac:dyDescent="0.2">
      <c r="A17" s="88"/>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7D2449764994B48B78B0A9D1EC6F6F7" ma:contentTypeVersion="7" ma:contentTypeDescription="Create a new document." ma:contentTypeScope="" ma:versionID="60e5adad5d04ab4e6ab594478c3c57d0">
  <xsd:schema xmlns:xsd="http://www.w3.org/2001/XMLSchema" xmlns:xs="http://www.w3.org/2001/XMLSchema" xmlns:p="http://schemas.microsoft.com/office/2006/metadata/properties" xmlns:ns2="4d70f775-b816-4d34-b2bf-d63fcbaa68fe" xmlns:ns3="1505a679-7e3c-4741-a392-ad73a5192361" targetNamespace="http://schemas.microsoft.com/office/2006/metadata/properties" ma:root="true" ma:fieldsID="69d1de64ee18459e46b665a2bd31257d" ns2:_="" ns3:_="">
    <xsd:import namespace="4d70f775-b816-4d34-b2bf-d63fcbaa68fe"/>
    <xsd:import namespace="1505a679-7e3c-4741-a392-ad73a5192361"/>
    <xsd:element name="properties">
      <xsd:complexType>
        <xsd:sequence>
          <xsd:element name="documentManagement">
            <xsd:complexType>
              <xsd:all>
                <xsd:element ref="ns2:SharedWithUsers" minOccurs="0"/>
                <xsd:element ref="ns2:SharedWithDetails" minOccurs="0"/>
                <xsd:element ref="ns3:Category" minOccurs="0"/>
                <xsd:element ref="ns3:DocType" minOccurs="0"/>
                <xsd:element ref="ns3:Partner" minOccurs="0"/>
                <xsd:element ref="ns3:Date" minOccurs="0"/>
                <xsd:element ref="ns3:Relevant_x0020_for_x0020_M_x0026_E_x003f_"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d70f775-b816-4d34-b2bf-d63fcbaa68fe"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05a679-7e3c-4741-a392-ad73a5192361" elementFormDefault="qualified">
    <xsd:import namespace="http://schemas.microsoft.com/office/2006/documentManagement/types"/>
    <xsd:import namespace="http://schemas.microsoft.com/office/infopath/2007/PartnerControls"/>
    <xsd:element name="Category" ma:index="10" nillable="true" ma:displayName="Category" ma:format="Dropdown" ma:internalName="Category">
      <xsd:simpleType>
        <xsd:restriction base="dms:Choice">
          <xsd:enumeration value="Mission engagement"/>
          <xsd:enumeration value="TWG"/>
          <xsd:enumeration value="Conferences"/>
          <xsd:enumeration value="Meetings/Calls"/>
          <xsd:enumeration value="Stakeholder Directory"/>
          <xsd:enumeration value="Other"/>
        </xsd:restriction>
      </xsd:simpleType>
    </xsd:element>
    <xsd:element name="DocType" ma:index="11" nillable="true" ma:displayName="DocType" ma:format="Dropdown" ma:internalName="DocType">
      <xsd:simpleType>
        <xsd:restriction base="dms:Choice">
          <xsd:enumeration value="Deliverable"/>
          <xsd:enumeration value="Template"/>
          <xsd:enumeration value="Report"/>
          <xsd:enumeration value="Guide"/>
          <xsd:enumeration value="Presentation"/>
          <xsd:enumeration value="Tool"/>
          <xsd:enumeration value="Agenda"/>
          <xsd:enumeration value="Summary"/>
          <xsd:enumeration value="Stakeholder Directory"/>
          <xsd:enumeration value="Letter"/>
          <xsd:enumeration value="Workplan"/>
          <xsd:enumeration value="Other"/>
        </xsd:restriction>
      </xsd:simpleType>
    </xsd:element>
    <xsd:element name="Partner" ma:index="12" nillable="true" ma:displayName="Partner" ma:format="Dropdown" ma:internalName="Partner">
      <xsd:simpleType>
        <xsd:restriction base="dms:Choice">
          <xsd:enumeration value="Wits RHI"/>
          <xsd:enumeration value="Pangaea"/>
          <xsd:enumeration value="LVCT Health"/>
          <xsd:enumeration value="USAID"/>
          <xsd:enumeration value="WHO"/>
          <xsd:enumeration value="N/A"/>
          <xsd:enumeration value="Other"/>
        </xsd:restriction>
      </xsd:simpleType>
    </xsd:element>
    <xsd:element name="Date" ma:index="13" nillable="true" ma:displayName="Date" ma:internalName="Date">
      <xsd:simpleType>
        <xsd:restriction base="dms:Text">
          <xsd:maxLength value="255"/>
        </xsd:restriction>
      </xsd:simpleType>
    </xsd:element>
    <xsd:element name="Relevant_x0020_for_x0020_M_x0026_E_x003f_" ma:index="14" nillable="true" ma:displayName="Relevant for M&amp;E?" ma:default="0" ma:internalName="Relevant_x0020_for_x0020_M_x0026_E_x003f_">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Date xmlns="1505a679-7e3c-4741-a392-ad73a5192361" xsi:nil="true"/>
    <Relevant_x0020_for_x0020_M_x0026_E_x003f_ xmlns="1505a679-7e3c-4741-a392-ad73a5192361">false</Relevant_x0020_for_x0020_M_x0026_E_x003f_>
    <Partner xmlns="1505a679-7e3c-4741-a392-ad73a5192361">Wits RHI</Partner>
    <DocType xmlns="1505a679-7e3c-4741-a392-ad73a5192361" xsi:nil="true"/>
    <Category xmlns="1505a679-7e3c-4741-a392-ad73a5192361">Other</Category>
  </documentManagement>
</p:properties>
</file>

<file path=customXml/itemProps1.xml><?xml version="1.0" encoding="utf-8"?>
<ds:datastoreItem xmlns:ds="http://schemas.openxmlformats.org/officeDocument/2006/customXml" ds:itemID="{2B54A29A-84EC-4717-82C4-862F383DC83B}">
  <ds:schemaRefs>
    <ds:schemaRef ds:uri="http://schemas.microsoft.com/sharepoint/v3/contenttype/forms"/>
  </ds:schemaRefs>
</ds:datastoreItem>
</file>

<file path=customXml/itemProps2.xml><?xml version="1.0" encoding="utf-8"?>
<ds:datastoreItem xmlns:ds="http://schemas.openxmlformats.org/officeDocument/2006/customXml" ds:itemID="{16AB1AB8-5957-45D9-94E7-1D367ABFAF2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d70f775-b816-4d34-b2bf-d63fcbaa68fe"/>
    <ds:schemaRef ds:uri="1505a679-7e3c-4741-a392-ad73a519236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30649FA-D477-472B-AB9A-63A7AE1438FD}">
  <ds:schemaRefs>
    <ds:schemaRef ds:uri="http://schemas.microsoft.com/office/2006/metadata/properties"/>
    <ds:schemaRef ds:uri="http://purl.org/dc/terms/"/>
    <ds:schemaRef ds:uri="4d70f775-b816-4d34-b2bf-d63fcbaa68f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1505a679-7e3c-4741-a392-ad73a5192361"/>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PrEP Projects Summary</vt:lpstr>
      <vt:lpstr>Multiple Choice Options</vt:lpstr>
      <vt:lpstr>Sheet1</vt:lpstr>
    </vt:vector>
  </TitlesOfParts>
  <Company>Hewlett-Packard Company</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Alison Stretton-Downes</dc:creator>
  <cp:lastModifiedBy>Microsoft Office User</cp:lastModifiedBy>
  <cp:revision/>
  <dcterms:created xsi:type="dcterms:W3CDTF">2016-02-05T09:14:48Z</dcterms:created>
  <dcterms:modified xsi:type="dcterms:W3CDTF">2018-08-14T10:16:51Z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0x010100B7D2449764994B48B78B0A9D1EC6F6F7</vt:lpwstr>
  </property>
</Properties>
</file>